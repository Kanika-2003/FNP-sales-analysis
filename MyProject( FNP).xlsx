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elcome\Desktop\Excel data\Excelproject\"/>
    </mc:Choice>
  </mc:AlternateContent>
  <xr:revisionPtr revIDLastSave="0" documentId="13_ncr:1_{D23B6DB5-6C7D-4068-AEB7-98AA7E0C3A25}" xr6:coauthVersionLast="47" xr6:coauthVersionMax="47" xr10:uidLastSave="{00000000-0000-0000-0000-000000000000}"/>
  <bookViews>
    <workbookView xWindow="-120" yWindow="-120" windowWidth="20730" windowHeight="11040" firstSheet="1" activeTab="5" xr2:uid="{03C96C19-3763-4944-91BF-07F9C6E7D05C}"/>
  </bookViews>
  <sheets>
    <sheet name="FNPdataset" sheetId="2" state="hidden" r:id="rId1"/>
    <sheet name="Customers" sheetId="3" r:id="rId2"/>
    <sheet name="Orders" sheetId="4" r:id="rId3"/>
    <sheet name="Products" sheetId="5" r:id="rId4"/>
    <sheet name="Pivot Data" sheetId="1" r:id="rId5"/>
    <sheet name="Dashboard" sheetId="8" r:id="rId6"/>
  </sheets>
  <definedNames>
    <definedName name="ExternalData_1" localSheetId="0" hidden="1">FNPdataset!$A$1:$F$4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68" r:id="rId7"/>
    <pivotCache cacheId="171" r:id="rId8"/>
    <pivotCache cacheId="174" r:id="rId9"/>
    <pivotCache cacheId="177" r:id="rId10"/>
    <pivotCache cacheId="180" r:id="rId11"/>
    <pivotCache cacheId="183" r:id="rId12"/>
    <pivotCache cacheId="186" r:id="rId13"/>
    <pivotCache cacheId="189"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dataset_8b133c3c-ba2f-4ecf-a8d9-5c7453247502" name="FNPdataset" connection="Query - FNPdataset"/>
          <x15:modelTable id="Customers_99433cea-5825-430d-8904-49e0651e5ee7" name="Customers" connection="Query - Customers"/>
          <x15:modelTable id="Orders_79b2f4c2-179a-4c15-a0b8-1bb3f42989a9" name="Orders" connection="Query - Orders"/>
          <x15:modelTable id="Products_cc512837-5732-457f-87c4-890c4512751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C1B58F-039D-4F67-9EF9-2BDBE0544BD0}" keepAlive="1" name="ModelConnection_ExternalData_1" description="Data Model" type="5" refreshedVersion="7" minRefreshableVersion="5" saveData="1">
    <dbPr connection="Data Model Connection" command="FNPdataset" commandType="3"/>
    <extLst>
      <ext xmlns:x15="http://schemas.microsoft.com/office/spreadsheetml/2010/11/main" uri="{DE250136-89BD-433C-8126-D09CA5730AF9}">
        <x15:connection id="" model="1"/>
      </ext>
    </extLst>
  </connection>
  <connection id="2" xr16:uid="{24DCFA82-BF72-49B2-88EA-81184011A693}"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FD6DBA61-3704-40A0-85E7-634052FA53E6}"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CC6E3156-1BB5-490D-8880-6690EBE09D1D}"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2CA157F0-0E2A-47BC-A4ED-22104606B1A1}" name="Query - Customers" description="Connection to the 'Customers' query in the workbook." type="100" refreshedVersion="7" minRefreshableVersion="5">
    <extLst>
      <ext xmlns:x15="http://schemas.microsoft.com/office/spreadsheetml/2010/11/main" uri="{DE250136-89BD-433C-8126-D09CA5730AF9}">
        <x15:connection id="818f55fe-4912-42f4-bfa9-bc37ff61163e"/>
      </ext>
    </extLst>
  </connection>
  <connection id="6" xr16:uid="{2078F48E-10C5-481D-9F0F-290F7D2DD8CB}" name="Query - FNPdataset" description="Connection to the 'FNPdataset' query in the workbook." type="100" refreshedVersion="7" minRefreshableVersion="5">
    <extLst>
      <ext xmlns:x15="http://schemas.microsoft.com/office/spreadsheetml/2010/11/main" uri="{DE250136-89BD-433C-8126-D09CA5730AF9}">
        <x15:connection id="8a0eb98e-dc14-44e0-afa5-b7ced67e0cb3"/>
      </ext>
    </extLst>
  </connection>
  <connection id="7" xr16:uid="{AF7A23BF-820A-4833-AEBD-D0A89E95DFF5}" name="Query - Orders" description="Connection to the 'Orders' query in the workbook." type="100" refreshedVersion="7" minRefreshableVersion="5">
    <extLst>
      <ext xmlns:x15="http://schemas.microsoft.com/office/spreadsheetml/2010/11/main" uri="{DE250136-89BD-433C-8126-D09CA5730AF9}">
        <x15:connection id="d366f434-2118-449e-9bc7-b6ccb2dde6f6"/>
      </ext>
    </extLst>
  </connection>
  <connection id="8" xr16:uid="{0994117F-5571-42B2-A195-5D2B2B9A6190}" name="Query - Products" description="Connection to the 'Products' query in the workbook." type="100" refreshedVersion="7" minRefreshableVersion="5">
    <extLst>
      <ext xmlns:x15="http://schemas.microsoft.com/office/spreadsheetml/2010/11/main" uri="{DE250136-89BD-433C-8126-D09CA5730AF9}">
        <x15:connection id="926feed1-d8c5-4e8b-a3ce-eb2acde06def"/>
      </ext>
    </extLst>
  </connection>
  <connection id="9" xr16:uid="{9F095A1B-1E81-4B50-B05E-EAC5863AEEC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<sst xmlns="http://schemas.openxmlformats.org/spreadsheetml/2006/main" count="6025" uniqueCount="948">
  <si>
    <t>Name</t>
  </si>
  <si>
    <t>Extension</t>
  </si>
  <si>
    <t>Date accessed</t>
  </si>
  <si>
    <t>Date modified</t>
  </si>
  <si>
    <t>Date created</t>
  </si>
  <si>
    <t>Folder Path</t>
  </si>
  <si>
    <t>customers.csv</t>
  </si>
  <si>
    <t>.csv</t>
  </si>
  <si>
    <t>C:\Users\Welcome\Desktop\Excel data\FNPdataset\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</si>
  <si>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</si>
  <si>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</si>
  <si>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</si>
  <si>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</si>
  <si>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</si>
  <si>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</si>
  <si>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</si>
  <si>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</si>
  <si>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</si>
  <si>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</si>
  <si>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</si>
  <si>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</si>
  <si>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</si>
  <si>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</si>
  <si>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</si>
  <si>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</si>
  <si>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</si>
  <si>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</si>
  <si>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</si>
  <si>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</si>
  <si>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</si>
  <si>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</si>
  <si>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</si>
  <si>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</si>
  <si>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</si>
  <si>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</si>
  <si>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</si>
  <si>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</si>
  <si>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</si>
  <si>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</si>
  <si>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</si>
  <si>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</si>
  <si>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</si>
  <si>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</si>
  <si>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</si>
  <si>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</si>
  <si>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</si>
  <si>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</si>
  <si>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</si>
  <si>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</si>
  <si>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</si>
  <si>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</si>
  <si>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</si>
  <si>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</si>
  <si>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</si>
  <si>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</si>
  <si>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</si>
  <si>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</si>
  <si>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</si>
  <si>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</si>
  <si>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</si>
  <si>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</si>
  <si>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</si>
  <si>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</si>
  <si>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</si>
  <si>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</si>
  <si>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</si>
  <si>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</si>
  <si>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</si>
  <si>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</si>
  <si>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</si>
  <si>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</si>
  <si>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</si>
  <si>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</si>
  <si>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</si>
  <si>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</si>
  <si>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</si>
  <si>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</si>
  <si>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</si>
  <si>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</si>
  <si>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</si>
  <si>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</si>
  <si>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</si>
  <si>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</si>
  <si>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</si>
  <si>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</si>
  <si>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</si>
  <si>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</si>
  <si>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</si>
  <si>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</si>
  <si>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</si>
  <si>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</si>
  <si>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</si>
  <si>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</si>
  <si>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</si>
  <si>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</si>
  <si>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</si>
  <si>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</si>
  <si>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</si>
  <si>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</si>
  <si>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</si>
  <si>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</si>
  <si>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</si>
  <si>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</si>
  <si>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</si>
  <si>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</si>
  <si>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</si>
  <si>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</si>
  <si>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</si>
  <si>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</si>
  <si>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</si>
  <si>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</si>
  <si>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</si>
  <si>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</si>
  <si>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</si>
  <si>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</si>
  <si>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</si>
  <si>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</si>
  <si>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</si>
  <si>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</si>
  <si>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</si>
  <si>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</si>
  <si>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</si>
  <si>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</si>
  <si>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</si>
  <si>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</si>
  <si>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</si>
  <si>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</si>
  <si>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</si>
  <si>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</si>
  <si>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</si>
  <si>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</si>
  <si>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</si>
  <si>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</si>
  <si>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</si>
  <si>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</si>
  <si>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</si>
  <si>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</si>
  <si>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</si>
  <si>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</si>
  <si>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</si>
  <si>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</si>
  <si>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</si>
  <si>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</si>
  <si>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</si>
  <si>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</si>
  <si>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</si>
  <si>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</si>
  <si>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</si>
  <si>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</si>
  <si>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</si>
  <si>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</si>
  <si>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</si>
  <si>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</si>
  <si>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</si>
  <si>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</si>
  <si>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</si>
  <si>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</si>
  <si>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</si>
  <si>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</si>
  <si>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</si>
  <si>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</si>
  <si>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</si>
  <si>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</si>
  <si>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</si>
  <si>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</si>
  <si>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</si>
  <si>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</si>
  <si>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</si>
  <si>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</si>
  <si>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</si>
  <si>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</si>
  <si>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</si>
  <si>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</si>
  <si>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</si>
  <si>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</si>
  <si>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</si>
  <si>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</si>
  <si>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</si>
  <si>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</si>
  <si>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</si>
  <si>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</si>
  <si>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</si>
  <si>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</si>
  <si>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</si>
  <si>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</si>
  <si>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</si>
  <si>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</si>
  <si>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</si>
  <si>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</si>
  <si>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</si>
  <si>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</si>
  <si>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</si>
  <si>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</si>
  <si>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</si>
  <si>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</si>
  <si>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</si>
  <si>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</si>
  <si>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</si>
  <si>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</si>
  <si>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</si>
  <si>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</si>
  <si>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</si>
  <si>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</si>
  <si>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</si>
  <si>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</si>
  <si>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</si>
  <si>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</si>
  <si>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</si>
  <si>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</si>
  <si>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</si>
  <si>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</si>
  <si>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</si>
  <si>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</si>
  <si>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</si>
  <si>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</si>
  <si>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</si>
  <si>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</si>
  <si>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</si>
  <si>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</si>
  <si>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</si>
  <si>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</si>
  <si>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</si>
  <si>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</si>
  <si>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</si>
  <si>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</si>
  <si>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</si>
  <si>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</si>
  <si>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</si>
  <si>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</si>
  <si>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</si>
  <si>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</si>
  <si>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</si>
  <si>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</si>
  <si>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</si>
  <si>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</si>
  <si>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</si>
  <si>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</si>
  <si>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</si>
  <si>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</si>
  <si>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</si>
  <si>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</si>
  <si>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</si>
  <si>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</si>
  <si>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</si>
  <si>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</si>
  <si>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</si>
  <si>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</si>
  <si>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</si>
  <si>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</si>
  <si>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</si>
  <si>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</si>
  <si>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</si>
  <si>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</si>
  <si>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</si>
  <si>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</si>
  <si>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</si>
  <si>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</si>
  <si>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</si>
  <si>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</si>
  <si>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</si>
  <si>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</si>
  <si>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</si>
  <si>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</si>
  <si>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</si>
  <si>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</si>
  <si>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</si>
  <si>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</si>
  <si>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</si>
  <si>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</si>
  <si>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</si>
  <si>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</si>
  <si>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</si>
  <si>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</si>
  <si>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</si>
  <si>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</si>
  <si>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</si>
  <si>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</si>
  <si>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</si>
  <si>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</si>
  <si>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</si>
  <si>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</si>
  <si>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</si>
  <si>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</si>
  <si>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</si>
  <si>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</si>
  <si>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</si>
  <si>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</si>
  <si>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</si>
  <si>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</si>
  <si>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</si>
  <si>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</si>
  <si>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</si>
  <si>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</si>
  <si>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</si>
  <si>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</si>
  <si>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</si>
  <si>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</si>
  <si>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</si>
  <si>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</si>
  <si>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</si>
  <si>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</si>
  <si>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</si>
  <si>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</si>
  <si>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</si>
  <si>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</si>
  <si>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</si>
  <si>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</si>
  <si>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</si>
  <si>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</si>
  <si>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</si>
  <si>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</si>
  <si>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</si>
  <si>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</si>
  <si>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</si>
  <si>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</si>
  <si>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</si>
  <si>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</si>
  <si>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</si>
  <si>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</si>
  <si>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</si>
  <si>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</si>
  <si>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</si>
  <si>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</si>
  <si>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</si>
  <si>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</si>
  <si>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</si>
  <si>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</si>
  <si>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</si>
  <si>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</si>
  <si>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</si>
  <si>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</si>
  <si>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</si>
  <si>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</si>
  <si>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</si>
  <si>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</si>
  <si>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</si>
  <si>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</si>
  <si>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</si>
  <si>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</si>
  <si>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</si>
  <si>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</si>
  <si>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</si>
  <si>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</si>
  <si>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</si>
  <si>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</si>
  <si>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</si>
  <si>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</si>
  <si>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</si>
  <si>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</si>
  <si>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</si>
  <si>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</si>
  <si>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</si>
  <si>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</si>
  <si>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</si>
  <si>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</si>
  <si>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</si>
  <si>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</si>
  <si>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</si>
  <si>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</si>
  <si>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</si>
  <si>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</si>
  <si>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</si>
  <si>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</si>
  <si>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</si>
  <si>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</si>
  <si>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</si>
  <si>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</si>
  <si>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</si>
  <si>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</si>
  <si>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</si>
  <si>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</si>
  <si>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</si>
  <si>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</si>
  <si>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</si>
  <si>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</si>
  <si>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</si>
  <si>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</si>
  <si>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</si>
  <si>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</si>
  <si>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</si>
  <si>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</si>
  <si>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</si>
  <si>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</si>
  <si>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</si>
  <si>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</si>
  <si>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</si>
  <si>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</si>
  <si>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</si>
  <si>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</si>
  <si>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</si>
  <si>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</si>
  <si>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</si>
  <si>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</si>
  <si>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</si>
  <si>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</si>
  <si>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</si>
  <si>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</si>
  <si>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</si>
  <si>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</si>
  <si>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</si>
  <si>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</si>
  <si>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</si>
  <si>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</si>
  <si>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</si>
  <si>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</si>
  <si>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</si>
  <si>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</si>
  <si>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</si>
  <si>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</si>
  <si>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</si>
  <si>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</si>
  <si>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</si>
  <si>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</si>
  <si>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</si>
  <si>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</si>
  <si>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</si>
  <si>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</si>
  <si>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</si>
  <si>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</si>
  <si>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</si>
  <si>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</si>
  <si>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</si>
  <si>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</si>
  <si>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</si>
  <si>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</si>
  <si>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</si>
  <si>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</si>
  <si>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</si>
  <si>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</si>
  <si>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</si>
  <si>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</si>
  <si>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</si>
  <si>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</si>
  <si>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</si>
  <si>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</si>
  <si>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</si>
  <si>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</si>
  <si>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</si>
  <si>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</si>
  <si>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</si>
  <si>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</si>
  <si>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</si>
  <si>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</si>
  <si>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</si>
  <si>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</si>
  <si>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</si>
  <si>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</si>
  <si>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</si>
  <si>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</si>
  <si>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</si>
  <si>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</si>
  <si>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</si>
  <si>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</si>
  <si>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</si>
  <si>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</si>
  <si>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</si>
  <si>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</si>
  <si>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</si>
  <si>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</si>
  <si>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</si>
  <si>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</si>
  <si>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</si>
  <si>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</si>
  <si>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</si>
  <si>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</si>
  <si>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</si>
  <si>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</si>
  <si>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</si>
  <si>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</si>
  <si>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</si>
  <si>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</si>
  <si>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</si>
  <si>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</si>
  <si>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</si>
  <si>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</si>
  <si>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</si>
  <si>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</si>
  <si>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</si>
  <si>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</si>
  <si>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</si>
  <si>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</si>
  <si>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</si>
  <si>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</si>
  <si>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</si>
  <si>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</si>
  <si>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</si>
  <si>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</si>
  <si>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</si>
  <si>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</si>
  <si>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</si>
  <si>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</si>
  <si>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</si>
  <si>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</si>
  <si>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</si>
  <si>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</si>
  <si>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</si>
  <si>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</si>
  <si>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</si>
  <si>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</si>
  <si>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</si>
  <si>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</si>
  <si>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</si>
  <si>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</si>
  <si>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</si>
  <si>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</si>
  <si>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</si>
  <si>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</si>
  <si>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</si>
  <si>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</si>
  <si>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</si>
  <si>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</si>
  <si>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</si>
  <si>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</si>
  <si>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</si>
  <si>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</si>
  <si>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</si>
  <si>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</si>
  <si>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</si>
  <si>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</si>
  <si>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</si>
  <si>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</si>
  <si>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</si>
  <si>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</si>
  <si>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</si>
  <si>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</si>
  <si>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</si>
  <si>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</si>
  <si>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</si>
  <si>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</si>
  <si>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</si>
  <si>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</si>
  <si>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</si>
  <si>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</si>
  <si>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</si>
  <si>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</si>
  <si>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</si>
  <si>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</si>
  <si>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</si>
  <si>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</si>
  <si>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</si>
  <si>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</si>
  <si>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</si>
  <si>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</si>
  <si>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</si>
  <si>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</si>
  <si>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</si>
  <si>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</si>
  <si>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</si>
  <si>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</si>
  <si>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</si>
  <si>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</si>
  <si>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</si>
  <si>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</si>
  <si>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</si>
  <si>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</si>
  <si>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</si>
  <si>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</si>
  <si>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</si>
  <si>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</si>
  <si>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</si>
  <si>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</si>
  <si>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</si>
  <si>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</si>
  <si>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</si>
  <si>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</si>
  <si>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</si>
  <si>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</si>
  <si>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</si>
  <si>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</si>
  <si>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</si>
  <si>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</si>
  <si>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</si>
  <si>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</si>
  <si>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</si>
  <si>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</si>
  <si>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</si>
  <si>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</si>
  <si>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</si>
  <si>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</si>
  <si>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</si>
  <si>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</si>
  <si>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</si>
  <si>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</si>
  <si>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</si>
  <si>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</si>
  <si>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</si>
  <si>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</si>
  <si>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</si>
  <si>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</si>
  <si>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</si>
  <si>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</si>
  <si>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</si>
  <si>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</si>
  <si>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</si>
  <si>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</si>
  <si>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</si>
  <si>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</si>
  <si>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</si>
  <si>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</si>
  <si>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</si>
  <si>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</si>
  <si>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</si>
  <si>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</si>
  <si>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</si>
  <si>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</si>
  <si>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</si>
  <si>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</si>
  <si>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</si>
  <si>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</si>
  <si>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</si>
  <si>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</si>
  <si>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</si>
  <si>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</si>
  <si>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</si>
  <si>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</si>
  <si>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</si>
  <si>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</si>
  <si>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</si>
  <si>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</si>
  <si>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</si>
  <si>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</si>
  <si>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</si>
  <si>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</si>
  <si>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</si>
  <si>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</si>
  <si>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</si>
  <si>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</si>
  <si>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</si>
  <si>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</si>
  <si>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</si>
  <si>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</si>
  <si>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</si>
  <si>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</si>
  <si>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</si>
  <si>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</si>
  <si>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</si>
  <si>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</si>
  <si>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</si>
  <si>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</si>
  <si>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</si>
  <si>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</si>
  <si>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</si>
  <si>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</si>
  <si>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</si>
  <si>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</si>
  <si>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</si>
  <si>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</si>
  <si>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</si>
  <si>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</si>
  <si>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</si>
  <si>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</si>
  <si>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</si>
  <si>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</si>
  <si>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</si>
  <si>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</si>
  <si>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</si>
  <si>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</si>
  <si>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</si>
  <si>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</si>
  <si>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</si>
  <si>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</si>
  <si>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</si>
  <si>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</si>
  <si>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</si>
  <si>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</si>
  <si>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</si>
  <si>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</si>
  <si>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</si>
  <si>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</si>
  <si>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</si>
  <si>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</si>
  <si>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</si>
  <si>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</si>
  <si>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</si>
  <si>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</si>
  <si>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</si>
  <si>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</si>
  <si>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</si>
  <si>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</si>
  <si>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</si>
  <si>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</si>
  <si>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</si>
  <si>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</si>
  <si>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</si>
  <si>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</si>
  <si>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</si>
  <si>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</si>
  <si>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</si>
  <si>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</si>
  <si>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</si>
  <si>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</si>
  <si>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</si>
  <si>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</si>
  <si>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</si>
  <si>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</si>
  <si>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</si>
  <si>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</si>
  <si>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</si>
  <si>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</si>
  <si>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</si>
  <si>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</si>
  <si>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</si>
  <si>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</si>
  <si>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</si>
  <si>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</si>
  <si>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</si>
  <si>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</si>
  <si>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</si>
  <si>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</si>
  <si>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</si>
  <si>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</si>
  <si>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</si>
  <si>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</si>
  <si>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</si>
  <si>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</si>
  <si>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</si>
  <si>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</si>
  <si>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</si>
  <si>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</si>
  <si>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</si>
  <si>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</si>
  <si>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</si>
  <si>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</si>
  <si>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</si>
  <si>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</si>
  <si>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</si>
  <si>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</si>
  <si>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</si>
  <si>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</si>
  <si>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</si>
  <si>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</si>
  <si>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</si>
  <si>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</si>
  <si>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</si>
  <si>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</si>
  <si>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</si>
  <si>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</si>
  <si>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</si>
  <si>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</si>
  <si>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</si>
  <si>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</si>
  <si>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</si>
  <si>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</si>
  <si>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</si>
  <si>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</si>
  <si>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</si>
  <si>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</si>
  <si>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</si>
  <si>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</si>
  <si>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</si>
  <si>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</si>
  <si>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</si>
  <si>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</si>
  <si>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</si>
  <si>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</si>
  <si>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</si>
  <si>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</si>
  <si>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</si>
  <si>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</si>
  <si>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</si>
  <si>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</si>
  <si>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</si>
  <si>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</si>
  <si>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</si>
  <si>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</si>
  <si>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</si>
  <si>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</si>
  <si>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</si>
  <si>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</si>
  <si>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</si>
  <si>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</si>
  <si>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</si>
  <si>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</si>
  <si>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</si>
  <si>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</si>
  <si>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</si>
  <si>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</si>
  <si>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</si>
  <si>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</si>
  <si>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</si>
  <si>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</si>
  <si>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</si>
  <si>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</si>
  <si>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</si>
  <si>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</si>
  <si>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</si>
  <si>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</si>
  <si>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</si>
  <si>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</si>
  <si>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</si>
  <si>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</si>
  <si>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</si>
  <si>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</si>
  <si>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</si>
  <si>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</si>
  <si>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</si>
  <si>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</si>
  <si>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</si>
  <si>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</si>
  <si>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</si>
  <si>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</si>
  <si>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</si>
  <si>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</si>
  <si>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</si>
  <si>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</si>
  <si>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</si>
  <si>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</si>
  <si>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</si>
  <si>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</si>
  <si>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</si>
  <si>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</si>
  <si>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</si>
  <si>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</si>
  <si>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</si>
  <si>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</si>
  <si>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</si>
  <si>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</si>
  <si>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</si>
  <si>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</si>
  <si>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</si>
  <si>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</si>
  <si>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</si>
  <si>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</si>
  <si>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</si>
  <si>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</si>
  <si>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</si>
  <si>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</si>
  <si>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</si>
  <si>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</si>
  <si>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</si>
  <si>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</si>
  <si>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</si>
  <si>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</si>
  <si>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</si>
  <si>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</si>
  <si>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</si>
  <si>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</si>
  <si>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</si>
  <si>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</si>
  <si>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</si>
  <si>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</si>
  <si>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</si>
  <si>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</si>
  <si>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</si>
  <si>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</si>
  <si>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</si>
  <si>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</si>
  <si>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</si>
  <si>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</si>
  <si>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</si>
  <si>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</si>
  <si>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</si>
  <si>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</si>
  <si>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</si>
  <si>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</si>
  <si>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</si>
  <si>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</si>
  <si>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</si>
  <si>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</si>
  <si>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</si>
  <si>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</si>
  <si>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</si>
  <si>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</si>
  <si>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</si>
  <si>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</si>
  <si>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</si>
  <si>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</si>
  <si>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</si>
  <si>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</si>
  <si>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</si>
  <si>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</si>
  <si>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</si>
  <si>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</si>
  <si>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</si>
  <si>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</si>
  <si>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</si>
  <si>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</si>
  <si>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</si>
  <si>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</si>
  <si>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</si>
  <si>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</si>
  <si>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</si>
  <si>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</si>
  <si>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</si>
  <si>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</si>
  <si>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</si>
  <si>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</si>
  <si>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</si>
  <si>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</si>
  <si>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</si>
  <si>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</si>
  <si>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</si>
  <si>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</si>
  <si>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</si>
  <si>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</si>
  <si>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</si>
  <si>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</si>
  <si>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</si>
  <si>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</si>
  <si>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</si>
  <si>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</si>
  <si>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</si>
  <si>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</si>
  <si>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</si>
  <si>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</si>
  <si>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</si>
  <si>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</si>
  <si>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</si>
  <si>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</si>
  <si>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</si>
  <si>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</si>
  <si>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</si>
  <si>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</si>
  <si>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</si>
  <si>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</si>
  <si>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</si>
  <si>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</si>
  <si>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</si>
  <si>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</si>
  <si>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</si>
  <si>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</si>
  <si>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</si>
  <si>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</si>
  <si>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</si>
  <si>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</si>
  <si>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</si>
  <si>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</si>
  <si>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</si>
  <si>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</si>
  <si>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</si>
  <si>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</si>
  <si>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</si>
  <si>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</si>
  <si>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</si>
  <si>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</si>
  <si>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(order_date)</t>
  </si>
  <si>
    <t>Saturday</t>
  </si>
  <si>
    <t>Wednesday</t>
  </si>
  <si>
    <t>Friday</t>
  </si>
  <si>
    <t>Sunday</t>
  </si>
  <si>
    <t>Monday</t>
  </si>
  <si>
    <t>Tuesday</t>
  </si>
  <si>
    <t>Thursday</t>
  </si>
  <si>
    <t>Sum of Revenue</t>
  </si>
  <si>
    <t>Average of diff_order_Delivery</t>
  </si>
  <si>
    <t>Count of Order_ID</t>
  </si>
  <si>
    <t>Avg of Customers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</si>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</sst>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[MyProject( FNP).xlsx]Pivot Data!PivotTable7</c:name>
    <c:fmtId val="3"/>
  </c:pivotSource>
  <c:chart>
    <c:title>
      <c:tx>
        <c:rich>
          <a:bodyPr rot="0" spcFirstLastPara="1" vertOverflow="ellipsis" vert="horz" wrap="square" anchor="ctr" anchorCtr="1"/>
          <a:lstStyle/>
          <a:p>
            <a:pPr algn="ctr" rtl="0">
              <a:defRPr lang="en-IN" sz="1400" b="1" i="0" u="none" strike="noStrike" kern="1200" spc="0" baseline="0">
                <a:solidFill>
                  <a:schemeClr val="accent1"/>
                </a:solidFill>
                <a:latin typeface="+mn-lt"/>
                <a:ea typeface="+mn-ea"/>
                <a:cs typeface="+mn-cs"/>
              </a:defRPr>
            </a:pPr>
            <a:r>
              <a:rPr lang="en-IN" sz="1400" b="1" i="0" u="none" strike="noStrike" kern="1200" spc="0" baseline="0">
                <a:solidFill>
                  <a:schemeClr val="accent1"/>
                </a:solidFill>
                <a:latin typeface="+mn-lt"/>
                <a:ea typeface="+mn-ea"/>
                <a:cs typeface="+mn-cs"/>
              </a:rPr>
              <a:t>Revenue by occasions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Data'!$H$17</c:f>
              <c:strCache>
                <c:ptCount val="1"/>
                <c:pt idx="0">
                  <c:v>Total</c:v>
                </c:pt>
              </c:strCache>
            </c:strRef>
          </c:tx>
          <c:spPr>
            <a:solidFill>
              <a:schemeClr val="accent1"/>
            </a:solidFill>
            <a:ln>
              <a:noFill/>
            </a:ln>
            <a:effectLst/>
          </c:spPr>
          <c:invertIfNegative val="0"/>
          <c:cat>
            <c:strRef>
              <c:f>'Pivot Data'!$G$18:$G$25</c:f>
              <c:strCache>
                <c:ptCount val="7"/>
                <c:pt idx="0">
                  <c:v>All Occasions</c:v>
                </c:pt>
                <c:pt idx="1">
                  <c:v>Anniversary</c:v>
                </c:pt>
                <c:pt idx="2">
                  <c:v>Birthday</c:v>
                </c:pt>
                <c:pt idx="3">
                  <c:v>Diwali</c:v>
                </c:pt>
                <c:pt idx="4">
                  <c:v>Holi</c:v>
                </c:pt>
                <c:pt idx="5">
                  <c:v>Raksha Bandhan</c:v>
                </c:pt>
                <c:pt idx="6">
                  <c:v>Valentine's Day</c:v>
                </c:pt>
              </c:strCache>
            </c:strRef>
          </c:cat>
          <c:val>
            <c:numRef>
              <c:f>'Pivot Data'!$H$18:$H$25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D-13BE-4997-BC51-BFF7255A2F20}"/>
            </c:ext>
          </c:extLst>
        </c:ser>
        <c:dLbls>
          <c:showLegendKey val="0"/>
          <c:showVal val="0"/>
          <c:showCatName val="0"/>
          <c:showSerName val="0"/>
          <c:showPercent val="0"/>
          <c:showBubbleSize val="0"/>
        </c:dLbls>
        <c:gapWidth val="219"/>
        <c:overlap val="-27"/>
        <c:axId val="774022703"/>
        <c:axId val="774019375"/>
      </c:barChart>
      <c:catAx>
        <c:axId val="774022703"/>
        <c:scaling>
          <c:orientation val="minMax"/>
        </c:scaling>
        <c:delete val="0"/>
        <c:axPos val="b"/>
        <c:numFmt formatCode="General" sourceLinked="1"/>
        <c:majorTickMark val="none"/>
        <c:minorTickMark val="none"/>
        <c:tickLblPos val="nextTo"/>
        <c:spPr>
          <a:noFill/>
          <a:ln w="9525" cap="flat" cmpd="sng" algn="ctr">
            <a:solidFill>
              <a:schemeClr val="bg2"/>
            </a:solid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74019375"/>
        <c:crosses val="autoZero"/>
        <c:auto val="1"/>
        <c:lblAlgn val="ctr"/>
        <c:lblOffset val="100"/>
        <c:noMultiLvlLbl val="0"/>
      </c:catAx>
      <c:valAx>
        <c:axId val="774019375"/>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quot;₹&quot;\ #,##0.00;#,##0.00\ \-&quot;₹&quot;;&quot;₹&quot;\ #,##0.0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774022703"/>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FNP).xlsx]Pivot Data!PivotTable6</c:name>
    <c:fmtId val="25"/>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Top</a:t>
            </a:r>
            <a:r>
              <a:rPr lang="en-US" b="1" baseline="0">
                <a:solidFill>
                  <a:schemeClr val="accent1"/>
                </a:solidFill>
              </a:rPr>
              <a:t> 10 Cities by Orders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Data'!$E$17</c:f>
              <c:strCache>
                <c:ptCount val="1"/>
                <c:pt idx="0">
                  <c:v>Total</c:v>
                </c:pt>
              </c:strCache>
            </c:strRef>
          </c:tx>
          <c:spPr>
            <a:solidFill>
              <a:schemeClr val="accent1"/>
            </a:solidFill>
            <a:ln>
              <a:noFill/>
            </a:ln>
            <a:effectLst/>
          </c:spPr>
          <c:invertIfNegative val="0"/>
          <c:cat>
            <c:strRef>
              <c:f>'Pivot Data'!$D$18:$D$28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Data'!$E$18:$E$28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457F-46CA-9C8F-102B1AF36012}"/>
            </c:ext>
          </c:extLst>
        </c:ser>
        <c:dLbls>
          <c:showLegendKey val="0"/>
          <c:showVal val="0"/>
          <c:showCatName val="0"/>
          <c:showSerName val="0"/>
          <c:showPercent val="0"/>
          <c:showBubbleSize val="0"/>
        </c:dLbls>
        <c:gapWidth val="219"/>
        <c:overlap val="-27"/>
        <c:axId val="1606455375"/>
        <c:axId val="1606455791"/>
      </c:barChart>
      <c:catAx>
        <c:axId val="1606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606455791"/>
        <c:crosses val="autoZero"/>
        <c:auto val="1"/>
        <c:lblAlgn val="ctr"/>
        <c:lblOffset val="100"/>
        <c:noMultiLvlLbl val="0"/>
      </c:catAx>
      <c:valAx>
        <c:axId val="160645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606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FNP).xlsx]Pivot Data!PivotTable2</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Revenue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4877232753445"/>
          <c:y val="0.13540536394348723"/>
          <c:w val="0.78940931860417363"/>
          <c:h val="0.65822804654230449"/>
        </c:manualLayout>
      </c:layout>
      <c:lineChart>
        <c:grouping val="standard"/>
        <c:varyColors val="0"/>
        <c:ser>
          <c:idx val="0"/>
          <c:order val="0"/>
          <c:tx>
            <c:strRef>
              <c:f>'Pivot Data'!$B$1</c:f>
              <c:strCache>
                <c:ptCount val="1"/>
                <c:pt idx="0">
                  <c:v>Total</c:v>
                </c:pt>
              </c:strCache>
            </c:strRef>
          </c:tx>
          <c:spPr>
            <a:ln w="28575" cap="rnd">
              <a:solidFill>
                <a:schemeClr val="accent1"/>
              </a:solidFill>
              <a:round/>
            </a:ln>
            <a:effectLst/>
          </c:spPr>
          <c:marker>
            <c:symbol val="none"/>
          </c:marker>
          <c:cat>
            <c:strRef>
              <c:f>'Pivot Data'!$A$2:$A$14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Data'!$B$2:$B$14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3AA-4260-B234-E98AD5FD2BED}"/>
            </c:ext>
          </c:extLst>
        </c:ser>
        <c:dLbls>
          <c:showLegendKey val="0"/>
          <c:showVal val="0"/>
          <c:showCatName val="0"/>
          <c:showSerName val="0"/>
          <c:showPercent val="0"/>
          <c:showBubbleSize val="0"/>
        </c:dLbls>
        <c:smooth val="0"/>
        <c:axId val="1175193535"/>
        <c:axId val="1175195199"/>
      </c:lineChart>
      <c:catAx>
        <c:axId val="11751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175195199"/>
        <c:crosses val="autoZero"/>
        <c:auto val="1"/>
        <c:lblAlgn val="ctr"/>
        <c:lblOffset val="100"/>
        <c:noMultiLvlLbl val="0"/>
      </c:catAx>
      <c:valAx>
        <c:axId val="1175195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17519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FNP).xlsx]Pivot Data!PivotTable4</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r>
              <a:rPr lang="en-US" sz="1400" b="1" i="0" u="none" strike="noStrike" kern="1200" spc="0" baseline="0">
                <a:solidFill>
                  <a:schemeClr val="accent1"/>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Data'!$E$5</c:f>
              <c:strCache>
                <c:ptCount val="1"/>
                <c:pt idx="0">
                  <c:v>Total</c:v>
                </c:pt>
              </c:strCache>
            </c:strRef>
          </c:tx>
          <c:spPr>
            <a:solidFill>
              <a:schemeClr val="accent1"/>
            </a:solidFill>
            <a:ln>
              <a:noFill/>
            </a:ln>
            <a:effectLst/>
          </c:spPr>
          <c:invertIfNegative val="0"/>
          <c:cat>
            <c:strRef>
              <c:f>'Pivot Data'!$D$6:$D$11</c:f>
              <c:strCache>
                <c:ptCount val="5"/>
                <c:pt idx="0">
                  <c:v>Deserunt Box</c:v>
                </c:pt>
                <c:pt idx="1">
                  <c:v>Dolores Gift</c:v>
                </c:pt>
                <c:pt idx="2">
                  <c:v>Harum Pack</c:v>
                </c:pt>
                <c:pt idx="3">
                  <c:v>Magnam Set</c:v>
                </c:pt>
                <c:pt idx="4">
                  <c:v>Quia Gift</c:v>
                </c:pt>
              </c:strCache>
            </c:strRef>
          </c:cat>
          <c:val>
            <c:numRef>
              <c:f>'Pivot Data'!$E$6:$E$11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041-44AE-9FA2-71CEFA077063}"/>
            </c:ext>
          </c:extLst>
        </c:ser>
        <c:dLbls>
          <c:showLegendKey val="0"/>
          <c:showVal val="0"/>
          <c:showCatName val="0"/>
          <c:showSerName val="0"/>
          <c:showPercent val="0"/>
          <c:showBubbleSize val="0"/>
        </c:dLbls>
        <c:gapWidth val="219"/>
        <c:overlap val="-27"/>
        <c:axId val="1173298287"/>
        <c:axId val="1173297871"/>
      </c:barChart>
      <c:catAx>
        <c:axId val="117329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173297871"/>
        <c:crosses val="autoZero"/>
        <c:auto val="1"/>
        <c:lblAlgn val="ctr"/>
        <c:lblOffset val="100"/>
        <c:noMultiLvlLbl val="0"/>
      </c:catAx>
      <c:valAx>
        <c:axId val="1173297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17329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FNP).xlsx]Pivot Data!PivotTable9</c:name>
    <c:fmtId val="7"/>
  </c:pivotSource>
  <c:chart>
    <c:title>
      <c:tx>
        <c:rich>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r>
              <a:rPr lang="en-US" sz="1400" b="1" i="0" u="none" strike="noStrike" kern="1200" spc="0" baseline="0">
                <a:solidFill>
                  <a:schemeClr val="accent1"/>
                </a:solidFill>
                <a:latin typeface="+mn-lt"/>
                <a:ea typeface="+mn-ea"/>
                <a:cs typeface="+mn-cs"/>
              </a:rPr>
              <a:t>Revenue by Hour(Order Time)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Data'!$B$28</c:f>
              <c:strCache>
                <c:ptCount val="1"/>
                <c:pt idx="0">
                  <c:v>Total</c:v>
                </c:pt>
              </c:strCache>
            </c:strRef>
          </c:tx>
          <c:spPr>
            <a:ln w="28575" cap="rnd">
              <a:solidFill>
                <a:schemeClr val="accent1"/>
              </a:solidFill>
              <a:round/>
            </a:ln>
            <a:effectLst/>
          </c:spPr>
          <c:marker>
            <c:symbol val="none"/>
          </c:marker>
          <c:cat>
            <c:strRef>
              <c:f>'Pivot Data'!$A$29:$A$53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Data'!$B$29:$B$53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B34-461A-B49A-3DA6CE792CA8}"/>
            </c:ext>
          </c:extLst>
        </c:ser>
        <c:dLbls>
          <c:showLegendKey val="0"/>
          <c:showVal val="0"/>
          <c:showCatName val="0"/>
          <c:showSerName val="0"/>
          <c:showPercent val="0"/>
          <c:showBubbleSize val="0"/>
        </c:dLbls>
        <c:smooth val="0"/>
        <c:axId val="1169952991"/>
        <c:axId val="1169959231"/>
      </c:lineChart>
      <c:catAx>
        <c:axId val="116995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169959231"/>
        <c:crosses val="autoZero"/>
        <c:auto val="1"/>
        <c:lblAlgn val="ctr"/>
        <c:lblOffset val="100"/>
        <c:tickLblSkip val="2"/>
        <c:tickMarkSkip val="2"/>
        <c:noMultiLvlLbl val="0"/>
      </c:catAx>
      <c:valAx>
        <c:axId val="1169959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169952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FNP).xlsx]Pivot Data!PivotTable5</c:name>
    <c:fmtId val="7"/>
  </c:pivotSource>
  <c:chart>
    <c:title>
      <c:tx>
        <c:rich>
          <a:bodyPr rot="0" spcFirstLastPara="1" vertOverflow="ellipsis" vert="horz" wrap="square" anchor="ctr" anchorCtr="1"/>
          <a:lstStyle/>
          <a:p>
            <a:pPr algn="ctr" rtl="0">
              <a:defRPr lang="en-IN" sz="1400" b="1" i="0" u="none" strike="noStrike" kern="1200" spc="0" baseline="0">
                <a:solidFill>
                  <a:schemeClr val="accent1"/>
                </a:solidFill>
                <a:latin typeface="+mn-lt"/>
                <a:ea typeface="+mn-ea"/>
                <a:cs typeface="+mn-cs"/>
              </a:defRPr>
            </a:pPr>
            <a:r>
              <a:rPr lang="en-IN" sz="1400" b="1" i="0" u="none" strike="noStrike" kern="1200" spc="0" baseline="0">
                <a:solidFill>
                  <a:schemeClr val="accent1"/>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1092730381181"/>
          <c:y val="0.1735204678362573"/>
          <c:w val="0.75020130511209038"/>
          <c:h val="0.66655762766496296"/>
        </c:manualLayout>
      </c:layout>
      <c:barChart>
        <c:barDir val="col"/>
        <c:grouping val="clustered"/>
        <c:varyColors val="0"/>
        <c:ser>
          <c:idx val="0"/>
          <c:order val="0"/>
          <c:tx>
            <c:strRef>
              <c:f>'Pivot Data'!$B$17</c:f>
              <c:strCache>
                <c:ptCount val="1"/>
                <c:pt idx="0">
                  <c:v>Total</c:v>
                </c:pt>
              </c:strCache>
            </c:strRef>
          </c:tx>
          <c:spPr>
            <a:solidFill>
              <a:schemeClr val="accent1"/>
            </a:solidFill>
            <a:ln>
              <a:noFill/>
            </a:ln>
            <a:effectLst/>
          </c:spPr>
          <c:invertIfNegative val="0"/>
          <c:cat>
            <c:strRef>
              <c:f>'Pivot Data'!$A$18:$A$25</c:f>
              <c:strCache>
                <c:ptCount val="7"/>
                <c:pt idx="0">
                  <c:v>Cake</c:v>
                </c:pt>
                <c:pt idx="1">
                  <c:v>Colors</c:v>
                </c:pt>
                <c:pt idx="2">
                  <c:v>Mugs</c:v>
                </c:pt>
                <c:pt idx="3">
                  <c:v>Plants</c:v>
                </c:pt>
                <c:pt idx="4">
                  <c:v>Raksha Bandhan</c:v>
                </c:pt>
                <c:pt idx="5">
                  <c:v>Soft Toys</c:v>
                </c:pt>
                <c:pt idx="6">
                  <c:v>Sweets</c:v>
                </c:pt>
              </c:strCache>
            </c:strRef>
          </c:cat>
          <c:val>
            <c:numRef>
              <c:f>'Pivot Data'!$B$18:$B$25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5F2F-4792-90C2-E430495DB5E6}"/>
            </c:ext>
          </c:extLst>
        </c:ser>
        <c:dLbls>
          <c:showLegendKey val="0"/>
          <c:showVal val="0"/>
          <c:showCatName val="0"/>
          <c:showSerName val="0"/>
          <c:showPercent val="0"/>
          <c:showBubbleSize val="0"/>
        </c:dLbls>
        <c:gapWidth val="219"/>
        <c:overlap val="-27"/>
        <c:axId val="1593555696"/>
        <c:axId val="1593554032"/>
      </c:barChart>
      <c:catAx>
        <c:axId val="15935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593554032"/>
        <c:crosses val="autoZero"/>
        <c:auto val="1"/>
        <c:lblAlgn val="ctr"/>
        <c:lblOffset val="100"/>
        <c:noMultiLvlLbl val="0"/>
      </c:catAx>
      <c:valAx>
        <c:axId val="1593554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2">
                    <a:lumMod val="75000"/>
                  </a:schemeClr>
                </a:solidFill>
                <a:latin typeface="+mn-lt"/>
                <a:ea typeface="+mn-ea"/>
                <a:cs typeface="+mn-cs"/>
              </a:defRPr>
            </a:pPr>
            <a:endParaRPr lang="en-US"/>
          </a:p>
        </c:txPr>
        <c:crossAx val="159355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accent2">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57150</xdr:colOff>
      <xdr:row>2</xdr:row>
      <xdr:rowOff>38101</xdr:rowOff>
    </xdr:from>
    <xdr:to>
      <xdr:col>11</xdr:col>
      <xdr:colOff>47625</xdr:colOff>
      <xdr:row>14</xdr:row>
      <xdr:rowOff>1</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A0C12EDD-9FB2-4891-A5FC-EE6AF2D1D22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886950" y="419101"/>
              <a:ext cx="1209675"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35720</xdr:colOff>
      <xdr:row>5</xdr:row>
      <xdr:rowOff>95249</xdr:rowOff>
    </xdr:from>
    <xdr:to>
      <xdr:col>7</xdr:col>
      <xdr:colOff>345283</xdr:colOff>
      <xdr:row>19</xdr:row>
      <xdr:rowOff>154781</xdr:rowOff>
    </xdr:to>
    <xdr:graphicFrame macro="">
      <xdr:nvGraphicFramePr>
        <xdr:cNvPr id="2" name="Chart 1">
          <a:extLst>
            <a:ext uri="{FF2B5EF4-FFF2-40B4-BE49-F238E27FC236}">
              <a16:creationId xmlns:a16="http://schemas.microsoft.com/office/drawing/2014/main" id="{01AB815B-2285-4354-9682-428EE4632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369094</xdr:colOff>
      <xdr:row>5</xdr:row>
      <xdr:rowOff>95251</xdr:rowOff>
    </xdr:from>
    <xdr:to>
      <xdr:col>14</xdr:col>
      <xdr:colOff>549502</xdr:colOff>
      <xdr:row>19</xdr:row>
      <xdr:rowOff>149720</xdr:rowOff>
    </xdr:to>
    <xdr:graphicFrame macro="">
      <xdr:nvGraphicFramePr>
        <xdr:cNvPr id="3" name="Chart 2">
          <a:extLst>
            <a:ext uri="{FF2B5EF4-FFF2-40B4-BE49-F238E27FC236}">
              <a16:creationId xmlns:a16="http://schemas.microsoft.com/office/drawing/2014/main" id="{FCF06127-E150-4147-ABF3-BDB93C67E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83342</xdr:colOff>
      <xdr:row>19</xdr:row>
      <xdr:rowOff>166686</xdr:rowOff>
    </xdr:from>
    <xdr:to>
      <xdr:col>7</xdr:col>
      <xdr:colOff>343229</xdr:colOff>
      <xdr:row>33</xdr:row>
      <xdr:rowOff>178797</xdr:rowOff>
    </xdr:to>
    <xdr:graphicFrame macro="">
      <xdr:nvGraphicFramePr>
        <xdr:cNvPr id="4" name="Chart 3">
          <a:extLst>
            <a:ext uri="{FF2B5EF4-FFF2-40B4-BE49-F238E27FC236}">
              <a16:creationId xmlns:a16="http://schemas.microsoft.com/office/drawing/2014/main" id="{2E817B81-20BA-4B26-8477-862E16F1C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357187</xdr:colOff>
      <xdr:row>19</xdr:row>
      <xdr:rowOff>178595</xdr:rowOff>
    </xdr:from>
    <xdr:to>
      <xdr:col>14</xdr:col>
      <xdr:colOff>527660</xdr:colOff>
      <xdr:row>34</xdr:row>
      <xdr:rowOff>22313</xdr:rowOff>
    </xdr:to>
    <xdr:graphicFrame macro="">
      <xdr:nvGraphicFramePr>
        <xdr:cNvPr id="5" name="Chart 4">
          <a:extLst>
            <a:ext uri="{FF2B5EF4-FFF2-40B4-BE49-F238E27FC236}">
              <a16:creationId xmlns:a16="http://schemas.microsoft.com/office/drawing/2014/main" id="{8E4ECD57-4829-49B5-91C4-0B8EC5C56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535779</xdr:colOff>
      <xdr:row>19</xdr:row>
      <xdr:rowOff>178593</xdr:rowOff>
    </xdr:from>
    <xdr:to>
      <xdr:col>21</xdr:col>
      <xdr:colOff>452437</xdr:colOff>
      <xdr:row>34</xdr:row>
      <xdr:rowOff>76750</xdr:rowOff>
    </xdr:to>
    <xdr:graphicFrame macro="">
      <xdr:nvGraphicFramePr>
        <xdr:cNvPr id="7" name="Chart 6">
          <a:extLst>
            <a:ext uri="{FF2B5EF4-FFF2-40B4-BE49-F238E27FC236}">
              <a16:creationId xmlns:a16="http://schemas.microsoft.com/office/drawing/2014/main" id="{A5F49227-9791-4B86-ACE9-873F44856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23814</xdr:colOff>
      <xdr:row>0</xdr:row>
      <xdr:rowOff>47625</xdr:rowOff>
    </xdr:from>
    <xdr:to>
      <xdr:col>9</xdr:col>
      <xdr:colOff>471488</xdr:colOff>
      <xdr:row>4</xdr:row>
      <xdr:rowOff>178593</xdr:rowOff>
    </xdr:to>
    <xdr:sp macro="" textlink="'Pivot Data'!G2">
      <xdr:nvSpPr>
        <xdr:cNvPr id="8" name="Rectangle: Rounded Corners 7">
          <a:extLst>
            <a:ext uri="{FF2B5EF4-FFF2-40B4-BE49-F238E27FC236}">
              <a16:creationId xmlns:a16="http://schemas.microsoft.com/office/drawing/2014/main" id="{801F4232-938C-42B0-8122-8339FF8D629F}"/>
            </a:ext>
          </a:extLst>
        </xdr:cNvPr>
        <xdr:cNvSpPr/>
      </xdr:nvSpPr>
      <xdr:spPr>
        <a:xfrm>
          <a:off x="3667127" y="47625"/>
          <a:ext cx="2269330" cy="892968"/>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9BD1394-9314-49E4-A8B1-B1A63F9F7736}" type="TxLink">
            <a:rPr lang="en-US" sz="1800" b="1" i="0" u="none" strike="noStrike">
              <a:solidFill>
                <a:schemeClr val="bg1"/>
              </a:solidFill>
              <a:latin typeface="Calibri"/>
              <a:ea typeface="Calibri"/>
              <a:cs typeface="Calibri"/>
            </a:rPr>
            <a:pPr marL="0" indent="0" algn="ctr"/>
            <a:t>1000</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Total Orders</a:t>
          </a:r>
        </a:p>
      </xdr:txBody>
    </xdr:sp>
    <xdr:clientData/>
  </xdr:twoCellAnchor>
  <xdr:twoCellAnchor>
    <xdr:from>
      <xdr:col>9</xdr:col>
      <xdr:colOff>569122</xdr:colOff>
      <xdr:row>0</xdr:row>
      <xdr:rowOff>45245</xdr:rowOff>
    </xdr:from>
    <xdr:to>
      <xdr:col>13</xdr:col>
      <xdr:colOff>409577</xdr:colOff>
      <xdr:row>5</xdr:row>
      <xdr:rowOff>4763</xdr:rowOff>
    </xdr:to>
    <xdr:sp macro="" textlink="'Pivot Data'!E2">
      <xdr:nvSpPr>
        <xdr:cNvPr id="9" name="Rectangle: Rounded Corners 8">
          <a:extLst>
            <a:ext uri="{FF2B5EF4-FFF2-40B4-BE49-F238E27FC236}">
              <a16:creationId xmlns:a16="http://schemas.microsoft.com/office/drawing/2014/main" id="{7CBB0EBA-9668-43FE-A7FA-8AD44A6002D2}"/>
            </a:ext>
          </a:extLst>
        </xdr:cNvPr>
        <xdr:cNvSpPr/>
      </xdr:nvSpPr>
      <xdr:spPr>
        <a:xfrm>
          <a:off x="6034091" y="45245"/>
          <a:ext cx="2269330" cy="912018"/>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0B415FC-9AB0-4848-84D2-6825ABA1C06B}" type="TxLink">
            <a:rPr lang="en-US" sz="1800" b="1" i="0" u="none" strike="noStrike">
              <a:solidFill>
                <a:schemeClr val="bg1"/>
              </a:solidFill>
              <a:latin typeface="Calibri"/>
              <a:ea typeface="Calibri"/>
              <a:cs typeface="Calibri"/>
            </a:rPr>
            <a:pPr marL="0" indent="0" algn="ctr"/>
            <a:t>₹ 35,20,984.00</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Total Revenue</a:t>
          </a:r>
          <a:endParaRPr lang="en-IN" sz="1800" b="1" i="0" u="none" strike="noStrike">
            <a:solidFill>
              <a:schemeClr val="bg1"/>
            </a:solidFill>
            <a:latin typeface="Calibri"/>
            <a:ea typeface="Calibri"/>
            <a:cs typeface="Calibri"/>
          </a:endParaRPr>
        </a:p>
      </xdr:txBody>
    </xdr:sp>
    <xdr:clientData/>
  </xdr:twoCellAnchor>
  <xdr:twoCellAnchor>
    <xdr:from>
      <xdr:col>13</xdr:col>
      <xdr:colOff>471494</xdr:colOff>
      <xdr:row>0</xdr:row>
      <xdr:rowOff>42863</xdr:rowOff>
    </xdr:from>
    <xdr:to>
      <xdr:col>17</xdr:col>
      <xdr:colOff>311949</xdr:colOff>
      <xdr:row>5</xdr:row>
      <xdr:rowOff>2381</xdr:rowOff>
    </xdr:to>
    <xdr:sp macro="" textlink="'Pivot Data'!D2">
      <xdr:nvSpPr>
        <xdr:cNvPr id="10" name="Rectangle: Rounded Corners 9">
          <a:extLst>
            <a:ext uri="{FF2B5EF4-FFF2-40B4-BE49-F238E27FC236}">
              <a16:creationId xmlns:a16="http://schemas.microsoft.com/office/drawing/2014/main" id="{4971486C-BE23-47E5-A860-4ABB50E7C06E}"/>
            </a:ext>
          </a:extLst>
        </xdr:cNvPr>
        <xdr:cNvSpPr/>
      </xdr:nvSpPr>
      <xdr:spPr>
        <a:xfrm>
          <a:off x="8365338" y="42863"/>
          <a:ext cx="2269330" cy="912018"/>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E82BBE5-D9D7-495E-8A76-8B5F6101C450}" type="TxLink">
            <a:rPr lang="en-US" sz="1800" b="1" i="0" u="none" strike="noStrike">
              <a:solidFill>
                <a:schemeClr val="bg1"/>
              </a:solidFill>
              <a:latin typeface="Calibri"/>
              <a:ea typeface="Calibri"/>
              <a:cs typeface="Calibri"/>
            </a:rPr>
            <a:pPr marL="0" indent="0" algn="ctr"/>
            <a:t>5.53</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Order-Delivery Time</a:t>
          </a:r>
          <a:endParaRPr lang="en-IN" sz="1800" b="1" i="0" u="none" strike="noStrike">
            <a:solidFill>
              <a:schemeClr val="bg1"/>
            </a:solidFill>
            <a:latin typeface="Calibri"/>
            <a:ea typeface="Calibri"/>
            <a:cs typeface="Calibri"/>
          </a:endParaRPr>
        </a:p>
      </xdr:txBody>
    </xdr:sp>
    <xdr:clientData/>
  </xdr:twoCellAnchor>
  <xdr:twoCellAnchor>
    <xdr:from>
      <xdr:col>17</xdr:col>
      <xdr:colOff>369095</xdr:colOff>
      <xdr:row>0</xdr:row>
      <xdr:rowOff>64295</xdr:rowOff>
    </xdr:from>
    <xdr:to>
      <xdr:col>21</xdr:col>
      <xdr:colOff>440533</xdr:colOff>
      <xdr:row>5</xdr:row>
      <xdr:rowOff>23813</xdr:rowOff>
    </xdr:to>
    <xdr:sp macro="" textlink="'Pivot Data'!F2">
      <xdr:nvSpPr>
        <xdr:cNvPr id="11" name="Rectangle: Rounded Corners 10">
          <a:extLst>
            <a:ext uri="{FF2B5EF4-FFF2-40B4-BE49-F238E27FC236}">
              <a16:creationId xmlns:a16="http://schemas.microsoft.com/office/drawing/2014/main" id="{0B4512FC-B2C6-419A-BB12-A8CED2E1E28D}"/>
            </a:ext>
          </a:extLst>
        </xdr:cNvPr>
        <xdr:cNvSpPr/>
      </xdr:nvSpPr>
      <xdr:spPr>
        <a:xfrm>
          <a:off x="10691814" y="64295"/>
          <a:ext cx="2500313" cy="912018"/>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3CB74CA-F558-4FE1-8C20-3270B5F98186}" type="TxLink">
            <a:rPr lang="en-US" sz="1600" b="1" i="0" u="none" strike="noStrike">
              <a:solidFill>
                <a:schemeClr val="bg1"/>
              </a:solidFill>
              <a:latin typeface="Calibri"/>
              <a:ea typeface="Calibri"/>
              <a:cs typeface="Calibri"/>
            </a:rPr>
            <a:pPr marL="0" indent="0" algn="ctr"/>
            <a:t>₹ 3,520.98</a:t>
          </a:fld>
          <a:endParaRPr lang="en-US" sz="1600" b="1" i="0" u="none" strike="noStrike">
            <a:solidFill>
              <a:schemeClr val="bg1"/>
            </a:solidFill>
            <a:latin typeface="Calibri"/>
            <a:ea typeface="Calibri"/>
            <a:cs typeface="Calibri"/>
          </a:endParaRPr>
        </a:p>
        <a:p>
          <a:pPr marL="0" indent="0" algn="ctr"/>
          <a:r>
            <a:rPr lang="en-US" sz="1600" b="1" i="0" u="none" strike="noStrike">
              <a:solidFill>
                <a:schemeClr val="bg1"/>
              </a:solidFill>
              <a:latin typeface="Calibri"/>
              <a:ea typeface="Calibri"/>
              <a:cs typeface="Calibri"/>
            </a:rPr>
            <a:t>Avg Customer Spending</a:t>
          </a:r>
          <a:endParaRPr lang="en-IN" sz="1600" b="1" i="0" u="none" strike="noStrike">
            <a:solidFill>
              <a:schemeClr val="bg1"/>
            </a:solidFill>
            <a:latin typeface="Calibri"/>
            <a:ea typeface="Calibri"/>
            <a:cs typeface="Calibri"/>
          </a:endParaRPr>
        </a:p>
      </xdr:txBody>
    </xdr:sp>
    <xdr:clientData/>
  </xdr:twoCellAnchor>
  <xdr:twoCellAnchor editAs="oneCell">
    <xdr:from>
      <xdr:col>21</xdr:col>
      <xdr:colOff>488157</xdr:colOff>
      <xdr:row>15</xdr:row>
      <xdr:rowOff>154782</xdr:rowOff>
    </xdr:from>
    <xdr:to>
      <xdr:col>26</xdr:col>
      <xdr:colOff>1</xdr:colOff>
      <xdr:row>33</xdr:row>
      <xdr:rowOff>178594</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707E9C01-2940-4BD8-9246-EF80119B29D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239751" y="3012282"/>
              <a:ext cx="2547938" cy="3452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47623</xdr:colOff>
      <xdr:row>0</xdr:row>
      <xdr:rowOff>33337</xdr:rowOff>
    </xdr:from>
    <xdr:to>
      <xdr:col>5</xdr:col>
      <xdr:colOff>559592</xdr:colOff>
      <xdr:row>5</xdr:row>
      <xdr:rowOff>47625</xdr:rowOff>
    </xdr:to>
    <xdr:sp macro="" textlink="'Pivot Data'!L6">
      <xdr:nvSpPr>
        <xdr:cNvPr id="17" name="Rectangle: Rounded Corners 16">
          <a:extLst>
            <a:ext uri="{FF2B5EF4-FFF2-40B4-BE49-F238E27FC236}">
              <a16:creationId xmlns:a16="http://schemas.microsoft.com/office/drawing/2014/main" id="{62B4B72C-6ABB-47B9-A5CC-8FF56E66CAEE}"/>
            </a:ext>
          </a:extLst>
        </xdr:cNvPr>
        <xdr:cNvSpPr/>
      </xdr:nvSpPr>
      <xdr:spPr>
        <a:xfrm>
          <a:off x="47623" y="33337"/>
          <a:ext cx="3548063" cy="966788"/>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2400" b="1" i="0" u="none" strike="noStrike">
              <a:solidFill>
                <a:schemeClr val="bg1"/>
              </a:solidFill>
              <a:latin typeface="Calibri"/>
              <a:ea typeface="Calibri"/>
              <a:cs typeface="Calibri"/>
            </a:rPr>
            <a:t>Sales Analysis</a:t>
          </a:r>
        </a:p>
      </xdr:txBody>
    </xdr:sp>
    <xdr:clientData/>
  </xdr:twoCellAnchor>
  <xdr:twoCellAnchor editAs="oneCell">
    <xdr:from>
      <xdr:col>0</xdr:col>
      <xdr:colOff>166689</xdr:colOff>
      <xdr:row>0</xdr:row>
      <xdr:rowOff>130970</xdr:rowOff>
    </xdr:from>
    <xdr:to>
      <xdr:col>2</xdr:col>
      <xdr:colOff>214312</xdr:colOff>
      <xdr:row>4</xdr:row>
      <xdr:rowOff>160970</xdr:rowOff>
    </xdr:to>
    <xdr:pic>
      <xdr:nvPicPr>
        <xdr:cNvPr id="23" name="Picture 22">
          <a:extLst>
            <a:ext uri="{FF2B5EF4-FFF2-40B4-BE49-F238E27FC236}">
              <a16:creationId xmlns:a16="http://schemas.microsoft.com/office/drawing/2014/main" id="{D8F7D54B-F8C1-4718-9DFC-42B0DE9BED42}"/>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colorTemperature colorTemp="5300"/>
                  </a14:imgEffect>
                  <a14:imgEffect>
                    <a14:saturation sat="30000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66689" y="130970"/>
          <a:ext cx="1262061" cy="792000"/>
        </a:xfrm>
        <a:prstGeom prst="rect">
          <a:avLst/>
        </a:prstGeom>
        <a:ln>
          <a:solidFill>
            <a:schemeClr val="accent2"/>
          </a:solidFill>
        </a:ln>
      </xdr:spPr>
    </xdr:pic>
    <xdr:clientData/>
  </xdr:twoCellAnchor>
  <xdr:twoCellAnchor>
    <xdr:from>
      <xdr:col>14</xdr:col>
      <xdr:colOff>547688</xdr:colOff>
      <xdr:row>5</xdr:row>
      <xdr:rowOff>107157</xdr:rowOff>
    </xdr:from>
    <xdr:to>
      <xdr:col>21</xdr:col>
      <xdr:colOff>450057</xdr:colOff>
      <xdr:row>19</xdr:row>
      <xdr:rowOff>154782</xdr:rowOff>
    </xdr:to>
    <xdr:graphicFrame macro="">
      <xdr:nvGraphicFramePr>
        <xdr:cNvPr id="24" name="Chart 23">
          <a:extLst>
            <a:ext uri="{FF2B5EF4-FFF2-40B4-BE49-F238E27FC236}">
              <a16:creationId xmlns:a16="http://schemas.microsoft.com/office/drawing/2014/main" id="{F0E5D5BC-541A-4B32-9ECA-88CE0D6E1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500064</xdr:colOff>
      <xdr:row>0</xdr:row>
      <xdr:rowOff>42862</xdr:rowOff>
    </xdr:from>
    <xdr:to>
      <xdr:col>25</xdr:col>
      <xdr:colOff>535783</xdr:colOff>
      <xdr:row>7</xdr:row>
      <xdr:rowOff>80962</xdr:rowOff>
    </xdr:to>
    <mc:AlternateContent xmlns:mc="http://schemas.openxmlformats.org/markup-compatibility/2006">
      <mc:Choice xmlns:tsle="http://schemas.microsoft.com/office/drawing/2012/timeslicer" Requires="tsle">
        <xdr:graphicFrame macro="">
          <xdr:nvGraphicFramePr>
            <xdr:cNvPr id="26" name="Order_Date">
              <a:extLst>
                <a:ext uri="{FF2B5EF4-FFF2-40B4-BE49-F238E27FC236}">
                  <a16:creationId xmlns:a16="http://schemas.microsoft.com/office/drawing/2014/main" id="{E007B8D8-E35A-4C3D-9872-97A69C72C8E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251658" y="42862"/>
              <a:ext cx="246459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488158</xdr:colOff>
      <xdr:row>7</xdr:row>
      <xdr:rowOff>114300</xdr:rowOff>
    </xdr:from>
    <xdr:to>
      <xdr:col>25</xdr:col>
      <xdr:colOff>559595</xdr:colOff>
      <xdr:row>15</xdr:row>
      <xdr:rowOff>95250</xdr:rowOff>
    </xdr:to>
    <mc:AlternateContent xmlns:mc="http://schemas.openxmlformats.org/markup-compatibility/2006">
      <mc:Choice xmlns:tsle="http://schemas.microsoft.com/office/drawing/2012/timeslicer" Requires="tsle">
        <xdr:graphicFrame macro="">
          <xdr:nvGraphicFramePr>
            <xdr:cNvPr id="28" name="Delivery_Date">
              <a:extLst>
                <a:ext uri="{FF2B5EF4-FFF2-40B4-BE49-F238E27FC236}">
                  <a16:creationId xmlns:a16="http://schemas.microsoft.com/office/drawing/2014/main" id="{E1776309-F114-46CD-B8D8-2221782E0D3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239752" y="1447800"/>
              <a:ext cx="2500312" cy="15049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1689812" backgroundQuery="1" createdVersion="7" refreshedVersion="7" minRefreshableVersion="3" recordCount="0" supportSubquery="1" supportAdvancedDrill="1" xr:uid="{5F3791AF-5033-4B18-93CC-7C0E9DF3E56F}">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226852" backgroundQuery="1" createdVersion="7" refreshedVersion="7" minRefreshableVersion="3" recordCount="0" supportSubquery="1" supportAdvancedDrill="1" xr:uid="{B18C7B40-6B28-4525-AA42-F390752AE8AF}">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2731482" backgroundQuery="1" createdVersion="7" refreshedVersion="7" minRefreshableVersion="3" recordCount="0" supportSubquery="1" supportAdvancedDrill="1" xr:uid="{00CB800B-AAC8-4C19-AE20-620EAA4FBFDE}">
  <cacheSource type="external" connectionId="9"/>
  <cacheFields count="5">
    <cacheField name="[Measures].[Average of diff_order_Delivery]" caption="Average of diff_order_Delivery" numFmtId="0" hierarchy="45" level="32767"/>
    <cacheField name="[Measures].[Sum of Revenue]" caption="Sum of Revenue" numFmtId="0" hierarchy="43" level="32767"/>
    <cacheField name="[Measures].[Average of Revenue]" caption="Average of Revenue" numFmtId="0" hierarchy="47" level="32767"/>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3078705" backgroundQuery="1" createdVersion="7" refreshedVersion="7" minRefreshableVersion="3" recordCount="0" supportSubquery="1" supportAdvancedDrill="1" xr:uid="{6BC34FF2-2CEE-4A8F-9327-A628EB71E5F8}">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3541667" backgroundQuery="1" createdVersion="7" refreshedVersion="7" minRefreshableVersion="3" recordCount="0" supportSubquery="1" supportAdvancedDrill="1" xr:uid="{7AEAD973-6B7D-494C-A2F5-449207BB9C56}">
  <cacheSource type="external" connectionId="9"/>
  <cacheFields count="5">
    <cacheField name="[Orders].[Month Name].[Month Name]" caption="Month Name" numFmtId="0" hierarchy="24" level="1">
      <sharedItems count="10">
        <s v="April"/>
        <s v="August"/>
        <s v="December"/>
        <s v="Februar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4004629" backgroundQuery="1" createdVersion="7" refreshedVersion="7" minRefreshableVersion="3" recordCount="0" supportSubquery="1" supportAdvancedDrill="1" xr:uid="{3B5FBE43-B1CD-4725-A854-1E54FB688FAF}">
  <cacheSource type="external" connectionId="9"/>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4467591" backgroundQuery="1" createdVersion="7" refreshedVersion="7" minRefreshableVersion="3" recordCount="0" supportSubquery="1" supportAdvancedDrill="1" xr:uid="{50DEA7DC-E389-4805-8A4A-8864264F89DC}">
  <cacheSource type="external" connectionId="9"/>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ccusantium Set"/>
        <s v="Aut Box"/>
        <s v="Ea Set"/>
        <s v="Officiis Pack"/>
        <s v="Quisquam Pack"/>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dataset].[Content]" caption="Content" attribute="1" defaultMemberUniqueName="[FNPdataset].[Content].[All]" allUniqueName="[FNPdataset].[Content].[All]" dimensionUniqueName="[FNPdataset]" displayFolder="" count="2" memberValueDatatype="130" unbalanced="0"/>
    <cacheHierarchy uniqueName="[FNPdataset].[Name]" caption="Name" attribute="1" defaultMemberUniqueName="[FNPdataset].[Name].[All]" allUniqueName="[FNPdataset].[Name].[All]" dimensionUniqueName="[FNPdataset]" displayFolder="" count="2" memberValueDatatype="130" unbalanced="0"/>
    <cacheHierarchy uniqueName="[FNPdataset].[Extension]" caption="Extension" attribute="1" defaultMemberUniqueName="[FNPdataset].[Extension].[All]" allUniqueName="[FNPdataset].[Extension].[All]" dimensionUniqueName="[FNPdataset]" displayFolder="" count="2" memberValueDatatype="130" unbalanced="0"/>
    <cacheHierarchy uniqueName="[FNPdataset].[Date accessed]" caption="Date accessed" attribute="1" time="1" defaultMemberUniqueName="[FNPdataset].[Date accessed].[All]" allUniqueName="[FNPdataset].[Date accessed].[All]" dimensionUniqueName="[FNPdataset]" displayFolder="" count="2" memberValueDatatype="7" unbalanced="0"/>
    <cacheHierarchy uniqueName="[FNPdataset].[Date modified]" caption="Date modified" attribute="1" time="1" defaultMemberUniqueName="[FNPdataset].[Date modified].[All]" allUniqueName="[FNPdataset].[Date modified].[All]" dimensionUniqueName="[FNPdataset]" displayFolder="" count="2" memberValueDatatype="7" unbalanced="0"/>
    <cacheHierarchy uniqueName="[FNPdataset].[Date created]" caption="Date created" attribute="1" time="1" defaultMemberUniqueName="[FNPdataset].[Date created].[All]" allUniqueName="[FNPdataset].[Date created].[All]" dimensionUniqueName="[FNPdataset]" displayFolder="" count="2" memberValueDatatype="7" unbalanced="0"/>
    <cacheHierarchy uniqueName="[FNPdataset].[Folder Path]" caption="Folder Path" attribute="1" defaultMemberUniqueName="[FNPdataset].[Folder Path].[All]" allUniqueName="[FNPdataset].[Folder Path].[All]" dimensionUniqueName="[FNP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722214814814" backgroundQuery="1" createdVersion="7" refreshedVersion="7" minRefreshableVersion="3" recordCount="0" supportSubquery="1" supportAdvancedDrill="1" xr:uid="{1E5FE6A1-6BC8-43E8-A2E0-113E7EB05B67}">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dataset" uniqueName="[FNPdataset]" caption="FNP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dataset" caption="FNP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1.775217129631" backgroundQuery="1" createdVersion="3" refreshedVersion="7" minRefreshableVersion="3" recordCount="0" supportSubquery="1" supportAdvancedDrill="1" xr:uid="{D7E613FF-EA7E-4F07-BF2F-392F87FE8448}">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269706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2.588314236113" backgroundQuery="1" createdVersion="3" refreshedVersion="7" minRefreshableVersion="3" recordCount="0" supportSubquery="1" supportAdvancedDrill="1" xr:uid="{91ABE651-3855-459E-8A09-0ABD7ED6F115}">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2509885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555402-951C-4A38-B20C-FB1EE7423642}" name="PivotTable8" cacheId="168" applyNumberFormats="0" applyBorderFormats="0" applyFontFormats="0" applyPatternFormats="0" applyAlignmentFormats="0" applyWidthHeightFormats="1" dataCaption="Values" tag="ca82fe49-b581-4c37-9ecc-e97e4632a2b4" updatedVersion="7" minRefreshableVersion="3" useAutoFormatting="1" subtotalHiddenItems="1" itemPrintTitles="1" createdVersion="7" indent="0" outline="1" outlineData="1" multipleFieldFilters="0" chartFormat="4">
  <location ref="H5:I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ED89D2-F4EC-4161-9171-319D6C6DBC0E}" name="PivotTable5" cacheId="186" applyNumberFormats="0" applyBorderFormats="0" applyFontFormats="0" applyPatternFormats="0" applyAlignmentFormats="0" applyWidthHeightFormats="1" dataCaption="Values" tag="13aa4f11-bd73-46d3-a5ff-4dfa1c18ecdb" updatedVersion="7" minRefreshableVersion="5" useAutoFormatting="1" subtotalHiddenItems="1" itemPrintTitles="1" createdVersion="7" indent="0" outline="1" outlineData="1" multipleFieldFilters="0" chartFormat="8">
  <location ref="A17:B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3">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92866-5EC1-453D-9054-CFDF53A61523}" name="PivotTable3" cacheId="174" applyNumberFormats="0" applyBorderFormats="0" applyFontFormats="0" applyPatternFormats="0" applyAlignmentFormats="0" applyWidthHeightFormats="1" dataCaption="Values" tag="7b3228f3-9d0b-4e0d-8c62-e0d8e1fc2aa7" updatedVersion="7" minRefreshableVersion="3" useAutoFormatting="1" subtotalHiddenItems="1" itemPrintTitles="1" createdVersion="7"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iff_order_Delivery" fld="0" subtotal="average" baseField="0" baseItem="0"/>
    <dataField name="Sum of Revenue" fld="1" baseField="0" baseItem="1"/>
    <dataField name="Avg of Customers spending" fld="2" subtotal="average" baseField="0" baseItem="2"/>
    <dataField name="Total orders placed" fld="3" subtotal="count" baseField="0" baseItem="3"/>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jhk"/>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iff_order_Delivery"/>
    <pivotHierarchy dragToData="1"/>
    <pivotHierarchy dragToData="1" caption="Avg of Customers spending"/>
    <pivotHierarchy dragToData="1"/>
    <pivotHierarchy dragToData="1" caption="Total orders place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BB8B2-722B-4F90-9CC3-680B67510F1C}" name="PivotTable2" cacheId="171" applyNumberFormats="0" applyBorderFormats="0" applyFontFormats="0" applyPatternFormats="0" applyAlignmentFormats="0" applyWidthHeightFormats="1" dataCaption="Values" tag="175f0683-d4e5-4794-a4c9-b414a56bdcc7" updatedVersion="7" minRefreshableVersion="3" useAutoFormatting="1" subtotalHiddenItems="1" itemPrintTitles="1" createdVersion="7" indent="0" outline="1" outlineData="1" multipleFieldFilters="0" chartFormat="4">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B82620-1897-4F45-A4FB-88B08757FAE6}" name="PivotTable4" cacheId="177" applyNumberFormats="0" applyBorderFormats="0" applyFontFormats="0" applyPatternFormats="0" applyAlignmentFormats="0" applyWidthHeightFormats="1" dataCaption="Values" tag="13aa4f11-bd73-46d3-a5ff-4dfa1c18ecdb" updatedVersion="7" minRefreshableVersion="3" useAutoFormatting="1" subtotalHiddenItems="1" itemPrintTitles="1" createdVersion="7" indent="0" outline="1" outlineData="1" multipleFieldFilters="0" chartFormat="4">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6AAF78-9C6D-4F92-A60C-DE0ED5469731}" name="PivotTable6" cacheId="180" applyNumberFormats="0" applyBorderFormats="0" applyFontFormats="0" applyPatternFormats="0" applyAlignmentFormats="0" applyWidthHeightFormats="1" dataCaption="Values" tag="f2af94c9-099f-4b76-b842-a1b7de717e23" updatedVersion="7" minRefreshableVersion="5" useAutoFormatting="1" subtotalHiddenItems="1" itemPrintTitles="1" createdVersion="7" indent="0" outline="1" outlineData="1" multipleFieldFilters="0" chartFormat="30">
  <location ref="D17:E28" firstHeaderRow="1" firstDataRow="1" firstDataCol="1"/>
  <pivotFields count="5">
    <pivotField allDrilled="1" subtotalTop="0" showAll="0" measureFilter="1" sortType="ascending" defaultSubtotal="0" defaultAttributeDrillState="1">
      <items count="10">
        <item x="3"/>
        <item x="5"/>
        <item x="0"/>
        <item x="6"/>
        <item x="4"/>
        <item x="1"/>
        <item x="9"/>
        <item x="8"/>
        <item x="7"/>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3" type="dateBetween" evalOrder="-1" id="10"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0" type="count" id="1" iMeasureHier="43">
      <autoFilter ref="A1">
        <filterColumn colId="0">
          <top10 val="10" filterVal="10"/>
        </filterColumn>
      </autoFilter>
    </filter>
    <filter fld="1" type="count" id="2"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050541-F95E-4DFF-8528-85CBC6E3013D}" name="PivotTable9" cacheId="183" applyNumberFormats="0" applyBorderFormats="0" applyFontFormats="0" applyPatternFormats="0" applyAlignmentFormats="0" applyWidthHeightFormats="1" dataCaption="Values" tag="4b581498-d22c-4ff0-a1dd-b8958a923c32" updatedVersion="7" minRefreshableVersion="3" useAutoFormatting="1" subtotalHiddenItems="1" itemPrintTitles="1" createdVersion="7" indent="0" outline="1" outlineData="1" multipleFieldFilters="0" chartFormat="8">
  <location ref="A28:B5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0C1151-1D5B-43E3-87AD-E82F0E84548D}" name="PivotTable7" cacheId="189" applyNumberFormats="0" applyBorderFormats="0" applyFontFormats="0" applyPatternFormats="0" applyAlignmentFormats="0" applyWidthHeightFormats="1" dataCaption="Values" tag="2fccc031-0fef-47c4-a9d4-6b3b1a3605a0" updatedVersion="7" minRefreshableVersion="3" useAutoFormatting="1" subtotalHiddenItems="1" itemPrintTitles="1" createdVersion="7" indent="0" outline="1" outlineData="1" multipleFieldFilters="0" chartFormat="4">
  <location ref="G17:H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EE9E18-0857-4F84-B6F3-7AC0015B9F3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1A1FFC7-62C6-48A5-AF0A-2A8D62A4D68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1B1040A-F8AD-4FB8-BEC1-CD7EE33E3510}"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ry Time)" tableColumnId="14"/>
      <queryTableField id="15" name="Price (INR)" tableColumnId="15"/>
      <queryTableField id="16" name="Revenue" tableColumnId="16"/>
      <queryTableField id="17" name="Day name (order_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E1B713C-A7DA-4501-BA9F-A8E46F1EA07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A8546F6-E005-4E0E-BB8F-9E116B462C20}" sourceName="[Orders].[Occasion]">
  <pivotTables>
    <pivotTable tabId="1" name="PivotTable8"/>
    <pivotTable tabId="1" name="PivotTable2"/>
    <pivotTable tabId="1" name="PivotTable3"/>
    <pivotTable tabId="1" name="PivotTable4"/>
    <pivotTable tabId="1" name="PivotTable6"/>
    <pivotTable tabId="1" name="PivotTable9"/>
    <pivotTable tabId="1" name="PivotTable5"/>
    <pivotTable tabId="1" name="PivotTable7"/>
  </pivotTables>
  <data>
    <olap pivotCacheId="87269706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4831091-F9F9-421A-BC3B-B13C06971F7C}"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ACFD892-E89F-4D02-BDAB-CDB530217508}"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BC31E4-BC26-411F-A529-F12C44D1AD2F}" name="FNPdataset" displayName="FNPdataset" ref="A1:F4" tableType="queryTable" totalsRowShown="0">
  <autoFilter ref="A1:F4" xr:uid="{FABC31E4-BC26-411F-A529-F12C44D1AD2F}"/>
  <tableColumns count="6">
    <tableColumn id="1" xr3:uid="{8784EB2E-BC25-417E-9601-8194BA39BB89}" uniqueName="1" name="Name" queryTableFieldId="1" dataDxfId="23"/>
    <tableColumn id="2" xr3:uid="{A3DBDF99-C8B8-449D-B962-D9E0EF646E62}" uniqueName="2" name="Extension" queryTableFieldId="2" dataDxfId="22"/>
    <tableColumn id="3" xr3:uid="{F5897EB3-3BD2-41C7-8DEA-6D8EDCB1D788}" uniqueName="3" name="Date accessed" queryTableFieldId="3" dataDxfId="21"/>
    <tableColumn id="4" xr3:uid="{DF826953-B7EB-4693-811E-D6423BFBDFBD}" uniqueName="4" name="Date modified" queryTableFieldId="4" dataDxfId="20"/>
    <tableColumn id="5" xr3:uid="{9AD56B91-26C9-4BDF-8DB1-7744154CC7AF}" uniqueName="5" name="Date created" queryTableFieldId="5" dataDxfId="19"/>
    <tableColumn id="6" xr3:uid="{B2A26A7A-408E-4579-A590-A4594F65B418}"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5338CF-D1D9-4FED-8413-6A7CB2B6C5C4}" name="Customers" displayName="Customers" ref="A1:G101" tableType="queryTable" totalsRowShown="0">
  <autoFilter ref="A1:G101" xr:uid="{F35338CF-D1D9-4FED-8413-6A7CB2B6C5C4}"/>
  <tableColumns count="7">
    <tableColumn id="1" xr3:uid="{1BF4F42D-E388-47FE-8877-BDEA3F063ACA}" uniqueName="1" name="Customer_ID" queryTableFieldId="1" dataDxfId="17"/>
    <tableColumn id="2" xr3:uid="{B8D5E8D6-7932-4106-920A-52E7E5362945}" uniqueName="2" name="Name" queryTableFieldId="2" dataDxfId="16"/>
    <tableColumn id="3" xr3:uid="{20D2999C-FD21-4736-AE7B-496C11172E9F}" uniqueName="3" name="City" queryTableFieldId="3" dataDxfId="15"/>
    <tableColumn id="4" xr3:uid="{746DA6AA-5B11-46D2-8AA7-15D26A515FCE}" uniqueName="4" name="Contact_Number" queryTableFieldId="4" dataDxfId="14"/>
    <tableColumn id="5" xr3:uid="{1A59D320-CDF2-46C3-AF2F-3BD0F690E943}" uniqueName="5" name="Email" queryTableFieldId="5" dataDxfId="13"/>
    <tableColumn id="6" xr3:uid="{DAEC5D00-E8A8-4354-B63C-A00F58EE2689}" uniqueName="6" name="Gender" queryTableFieldId="6" dataDxfId="12"/>
    <tableColumn id="7" xr3:uid="{01038463-402B-492E-9805-5668DB95FC1A}"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684502-B965-494B-86A3-E32A48A24202}" name="Orders" displayName="Orders" ref="A1:Q1001" tableType="queryTable" totalsRowShown="0">
  <autoFilter ref="A1:Q1001" xr:uid="{11684502-B965-494B-86A3-E32A48A24202}"/>
  <tableColumns count="17">
    <tableColumn id="1" xr3:uid="{15C34722-983F-4610-98ED-96D48F0C3821}" uniqueName="1" name="Order_ID" queryTableFieldId="1"/>
    <tableColumn id="2" xr3:uid="{C31EFEFD-7107-446C-813A-89ABB26C3C74}" uniqueName="2" name="Customer_ID" queryTableFieldId="2" dataDxfId="10"/>
    <tableColumn id="3" xr3:uid="{956E7C2C-D002-4DDA-B02E-A0EB1601BCEA}" uniqueName="3" name="Product_ID" queryTableFieldId="3"/>
    <tableColumn id="4" xr3:uid="{0870AB9C-45E2-459B-89B0-BBE642EDD612}" uniqueName="4" name="Quantity" queryTableFieldId="4"/>
    <tableColumn id="5" xr3:uid="{90FBA2BA-C198-4BA3-AD59-C1CE3251F73C}" uniqueName="5" name="Order_Date" queryTableFieldId="5" dataDxfId="9"/>
    <tableColumn id="6" xr3:uid="{E6E81284-56E9-4982-A1F5-CC1BCDD62164}" uniqueName="6" name="Order_Time" queryTableFieldId="6" dataDxfId="8"/>
    <tableColumn id="7" xr3:uid="{87E18BB7-990A-4257-B703-B82DBB4A3252}" uniqueName="7" name="Delivery_Date" queryTableFieldId="7" dataDxfId="7"/>
    <tableColumn id="8" xr3:uid="{136BD547-93A8-464E-BE2C-0A4ECD20672D}" uniqueName="8" name="Delivery_Time" queryTableFieldId="8" dataDxfId="6"/>
    <tableColumn id="9" xr3:uid="{A0405F72-6821-4CBF-BEF4-5638BDA215F2}" uniqueName="9" name="Location" queryTableFieldId="9" dataDxfId="5"/>
    <tableColumn id="10" xr3:uid="{71DFCD5E-69CC-4224-911D-2AF1FC223F1D}" uniqueName="10" name="Occasion" queryTableFieldId="10" dataDxfId="4"/>
    <tableColumn id="11" xr3:uid="{EF5EB97B-9A44-4EFC-A004-D1CE4151306D}" uniqueName="11" name="Month Name" queryTableFieldId="11" dataDxfId="3"/>
    <tableColumn id="12" xr3:uid="{D44F38CC-6E5D-4BCC-8555-9D8EC4B77A1E}" uniqueName="12" name="Hour" queryTableFieldId="12"/>
    <tableColumn id="13" xr3:uid="{376E7481-1147-4E96-A589-3689CB80E4A4}" uniqueName="13" name="diff_order_Delivery" queryTableFieldId="13"/>
    <tableColumn id="14" xr3:uid="{E1A0B798-437F-4F95-8232-4BA7F79332D8}" uniqueName="14" name="Hour (Delivery Time)" queryTableFieldId="14"/>
    <tableColumn id="15" xr3:uid="{F2A06318-CA16-4B29-B28E-766BB6002555}" uniqueName="15" name="Price (INR)" queryTableFieldId="15"/>
    <tableColumn id="16" xr3:uid="{9D05FB44-ADA1-4BAB-8588-C616C0138D5E}" uniqueName="16" name="Revenue" queryTableFieldId="16"/>
    <tableColumn id="17" xr3:uid="{E10CD71E-5BBE-46E4-B4C4-4DD6BF86AA1D}" uniqueName="17" name="Day name (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E01C2B-BF6F-40ED-8F06-ACAC4852133C}" name="Products" displayName="Products" ref="A1:E71" tableType="queryTable" totalsRowShown="0">
  <autoFilter ref="A1:E71" xr:uid="{42E01C2B-BF6F-40ED-8F06-ACAC4852133C}"/>
  <tableColumns count="5">
    <tableColumn id="1" xr3:uid="{A66F660B-371A-47CB-8164-FFB29AC3C81A}" uniqueName="1" name="Product_ID" queryTableFieldId="1"/>
    <tableColumn id="2" xr3:uid="{4C95A106-C9C0-4555-99DE-FA7B50A53BE5}" uniqueName="2" name="Product_Name" queryTableFieldId="2" dataDxfId="2"/>
    <tableColumn id="3" xr3:uid="{64AB117E-25FD-460B-AEB5-6DCFB66C5AD4}" uniqueName="3" name="Category" queryTableFieldId="3" dataDxfId="1"/>
    <tableColumn id="4" xr3:uid="{22025182-25E9-418E-A5A9-66E6D65BA227}" uniqueName="4" name="Price (INR)" queryTableFieldId="4"/>
    <tableColumn id="5" xr3:uid="{7A448AE4-76DD-46EE-91ED-70CD857FBF3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1FE0BFC-53A8-422B-B42A-2E25943F3534}" sourceName="[Orders].[Order_Date]">
  <pivotTables>
    <pivotTable tabId="1" name="PivotTable5"/>
  </pivotTables>
  <state minimalRefreshVersion="6" lastRefreshVersion="6" pivotCacheId="25098853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3F6176A-3D7A-43FC-8639-2E76C35A28E7}" sourceName="[Orders].[Delivery_Date]">
  <pivotTables>
    <pivotTable tabId="1" name="PivotTable5"/>
  </pivotTables>
  <state minimalRefreshVersion="6" lastRefreshVersion="6" pivotCacheId="25098853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31389FA-A743-4D10-B3A2-F72E78592038}" cache="Timeline_Order_Date" caption="Order_Date" level="2" selectionLevel="2" scrollPosition="2023-06-05T00:00:00"/>
  <timeline name="Delivery_Date" xr10:uid="{EF9B7ADF-D455-4B26-9A3B-12C19B8C5B3C}"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3C4B-A477-48E1-B5EB-D35CEA828A10}">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48.7109375" bestFit="1" customWidth="1"/>
  </cols>
  <sheetData>
    <row r="1" spans="1:6" x14ac:dyDescent="0.25">
      <c r="A1" t="s">
        <v>0</v>
      </c>
      <c r="B1" t="s">
        <v>1</v>
      </c>
      <c r="C1" t="s">
        <v>2</v>
      </c>
      <c r="D1" t="s">
        <v>3</v>
      </c>
      <c r="E1" t="s">
        <v>4</v>
      </c>
      <c r="F1" t="s">
        <v>5</v>
      </c>
    </row>
    <row r="2" spans="1:6" x14ac:dyDescent="0.25">
      <c r="A2" s="1" t="s">
        <v>6</v>
      </c>
      <c r="B2" s="1" t="s">
        <v>7</v>
      </c>
      <c r="C2" s="2">
        <v>46100.833809915122</v>
      </c>
      <c r="D2" s="2">
        <v>46072.846665895064</v>
      </c>
      <c r="E2" s="2">
        <v>46100.833792052472</v>
      </c>
      <c r="F2" s="1" t="s">
        <v>8</v>
      </c>
    </row>
    <row r="3" spans="1:6" x14ac:dyDescent="0.25">
      <c r="A3" s="1" t="s">
        <v>9</v>
      </c>
      <c r="B3" s="1" t="s">
        <v>7</v>
      </c>
      <c r="C3" s="2">
        <v>46100.833806249997</v>
      </c>
      <c r="D3" s="2">
        <v>46072.849143016974</v>
      </c>
      <c r="E3" s="2">
        <v>46100.833792245372</v>
      </c>
      <c r="F3" s="1" t="s">
        <v>8</v>
      </c>
    </row>
    <row r="4" spans="1:6" x14ac:dyDescent="0.25">
      <c r="A4" s="1" t="s">
        <v>10</v>
      </c>
      <c r="B4" s="1" t="s">
        <v>7</v>
      </c>
      <c r="C4" s="2">
        <v>46100.833811612654</v>
      </c>
      <c r="D4" s="2">
        <v>46072.846880555553</v>
      </c>
      <c r="E4" s="2">
        <v>46100.833792361111</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2A4A-ABE3-4305-A2D0-68F5D49D68E9}">
  <dimension ref="A1:G101"/>
  <sheetViews>
    <sheetView workbookViewId="0">
      <selection activeCell="B18" sqref="B18"/>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C1F5-9CE2-4569-A22C-3141A0525525}">
  <dimension ref="A1:Q1001"/>
  <sheetViews>
    <sheetView topLeftCell="H1" workbookViewId="0">
      <selection activeCell="C21" sqref="C2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7.5703125" bestFit="1" customWidth="1"/>
    <col min="13" max="13" width="21" bestFit="1" customWidth="1"/>
    <col min="14" max="14" width="22" bestFit="1" customWidth="1"/>
    <col min="15" max="15" width="12.7109375" bestFit="1" customWidth="1"/>
    <col min="16" max="16" width="11.140625" bestFit="1" customWidth="1"/>
    <col min="17" max="17" width="24.140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B224-3DA4-45FA-8D3B-FB8E381326D6}">
  <dimension ref="A1:E71"/>
  <sheetViews>
    <sheetView workbookViewId="0">
      <selection activeCell="G19" sqref="G19"/>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856</v>
      </c>
      <c r="C1" t="s">
        <v>857</v>
      </c>
      <c r="D1" t="s">
        <v>618</v>
      </c>
      <c r="E1" t="s">
        <v>613</v>
      </c>
    </row>
    <row r="2" spans="1:5" x14ac:dyDescent="0.25">
      <c r="A2">
        <v>1</v>
      </c>
      <c r="B2" s="1" t="s">
        <v>858</v>
      </c>
      <c r="C2" s="1" t="s">
        <v>859</v>
      </c>
      <c r="D2">
        <v>1935</v>
      </c>
      <c r="E2" s="1" t="s">
        <v>699</v>
      </c>
    </row>
    <row r="3" spans="1:5" x14ac:dyDescent="0.25">
      <c r="A3">
        <v>2</v>
      </c>
      <c r="B3" s="1" t="s">
        <v>860</v>
      </c>
      <c r="C3" s="1" t="s">
        <v>861</v>
      </c>
      <c r="D3">
        <v>441</v>
      </c>
      <c r="E3" s="1" t="s">
        <v>620</v>
      </c>
    </row>
    <row r="4" spans="1:5" x14ac:dyDescent="0.25">
      <c r="A4">
        <v>3</v>
      </c>
      <c r="B4" s="1" t="s">
        <v>862</v>
      </c>
      <c r="C4" s="1" t="s">
        <v>863</v>
      </c>
      <c r="D4">
        <v>1534</v>
      </c>
      <c r="E4" s="1" t="s">
        <v>620</v>
      </c>
    </row>
    <row r="5" spans="1:5" x14ac:dyDescent="0.25">
      <c r="A5">
        <v>4</v>
      </c>
      <c r="B5" s="1" t="s">
        <v>864</v>
      </c>
      <c r="C5" s="1" t="s">
        <v>865</v>
      </c>
      <c r="D5">
        <v>1199</v>
      </c>
      <c r="E5" s="1" t="s">
        <v>829</v>
      </c>
    </row>
    <row r="6" spans="1:5" x14ac:dyDescent="0.25">
      <c r="A6">
        <v>5</v>
      </c>
      <c r="B6" s="1" t="s">
        <v>866</v>
      </c>
      <c r="C6" s="1" t="s">
        <v>863</v>
      </c>
      <c r="D6">
        <v>1444</v>
      </c>
      <c r="E6" s="1" t="s">
        <v>699</v>
      </c>
    </row>
    <row r="7" spans="1:5" x14ac:dyDescent="0.25">
      <c r="A7">
        <v>6</v>
      </c>
      <c r="B7" s="1" t="s">
        <v>867</v>
      </c>
      <c r="C7" s="1" t="s">
        <v>868</v>
      </c>
      <c r="D7">
        <v>1112</v>
      </c>
      <c r="E7" s="1" t="s">
        <v>701</v>
      </c>
    </row>
    <row r="8" spans="1:5" x14ac:dyDescent="0.25">
      <c r="A8">
        <v>7</v>
      </c>
      <c r="B8" s="1" t="s">
        <v>869</v>
      </c>
      <c r="C8" s="1" t="s">
        <v>859</v>
      </c>
      <c r="D8">
        <v>409</v>
      </c>
      <c r="E8" s="1" t="s">
        <v>701</v>
      </c>
    </row>
    <row r="9" spans="1:5" x14ac:dyDescent="0.25">
      <c r="A9">
        <v>8</v>
      </c>
      <c r="B9" s="1" t="s">
        <v>870</v>
      </c>
      <c r="C9" s="1" t="s">
        <v>865</v>
      </c>
      <c r="D9">
        <v>252</v>
      </c>
      <c r="E9" s="1" t="s">
        <v>698</v>
      </c>
    </row>
    <row r="10" spans="1:5" x14ac:dyDescent="0.25">
      <c r="A10">
        <v>9</v>
      </c>
      <c r="B10" s="1" t="s">
        <v>871</v>
      </c>
      <c r="C10" s="1" t="s">
        <v>863</v>
      </c>
      <c r="D10">
        <v>1605</v>
      </c>
      <c r="E10" s="1" t="s">
        <v>794</v>
      </c>
    </row>
    <row r="11" spans="1:5" x14ac:dyDescent="0.25">
      <c r="A11">
        <v>10</v>
      </c>
      <c r="B11" s="1" t="s">
        <v>872</v>
      </c>
      <c r="C11" s="1" t="s">
        <v>868</v>
      </c>
      <c r="D11">
        <v>259</v>
      </c>
      <c r="E11" s="1" t="s">
        <v>707</v>
      </c>
    </row>
    <row r="12" spans="1:5" x14ac:dyDescent="0.25">
      <c r="A12">
        <v>11</v>
      </c>
      <c r="B12" s="1" t="s">
        <v>873</v>
      </c>
      <c r="C12" s="1" t="s">
        <v>874</v>
      </c>
      <c r="D12">
        <v>1096</v>
      </c>
      <c r="E12" s="1" t="s">
        <v>620</v>
      </c>
    </row>
    <row r="13" spans="1:5" x14ac:dyDescent="0.25">
      <c r="A13">
        <v>12</v>
      </c>
      <c r="B13" s="1" t="s">
        <v>875</v>
      </c>
      <c r="C13" s="1" t="s">
        <v>861</v>
      </c>
      <c r="D13">
        <v>672</v>
      </c>
      <c r="E13" s="1" t="s">
        <v>698</v>
      </c>
    </row>
    <row r="14" spans="1:5" x14ac:dyDescent="0.25">
      <c r="A14">
        <v>13</v>
      </c>
      <c r="B14" s="1" t="s">
        <v>876</v>
      </c>
      <c r="C14" s="1" t="s">
        <v>874</v>
      </c>
      <c r="D14">
        <v>1141</v>
      </c>
      <c r="E14" s="1" t="s">
        <v>701</v>
      </c>
    </row>
    <row r="15" spans="1:5" x14ac:dyDescent="0.25">
      <c r="A15">
        <v>14</v>
      </c>
      <c r="B15" s="1" t="s">
        <v>877</v>
      </c>
      <c r="C15" s="1" t="s">
        <v>863</v>
      </c>
      <c r="D15">
        <v>1915</v>
      </c>
      <c r="E15" s="1" t="s">
        <v>707</v>
      </c>
    </row>
    <row r="16" spans="1:5" x14ac:dyDescent="0.25">
      <c r="A16">
        <v>15</v>
      </c>
      <c r="B16" s="1" t="s">
        <v>878</v>
      </c>
      <c r="C16" s="1" t="s">
        <v>794</v>
      </c>
      <c r="D16">
        <v>1488</v>
      </c>
      <c r="E16" s="1" t="s">
        <v>698</v>
      </c>
    </row>
    <row r="17" spans="1:5" x14ac:dyDescent="0.25">
      <c r="A17">
        <v>16</v>
      </c>
      <c r="B17" s="1" t="s">
        <v>879</v>
      </c>
      <c r="C17" s="1" t="s">
        <v>865</v>
      </c>
      <c r="D17">
        <v>1721</v>
      </c>
      <c r="E17" s="1" t="s">
        <v>701</v>
      </c>
    </row>
    <row r="18" spans="1:5" x14ac:dyDescent="0.25">
      <c r="A18">
        <v>17</v>
      </c>
      <c r="B18" s="1" t="s">
        <v>880</v>
      </c>
      <c r="C18" s="1" t="s">
        <v>859</v>
      </c>
      <c r="D18">
        <v>1899</v>
      </c>
      <c r="E18" s="1" t="s">
        <v>698</v>
      </c>
    </row>
    <row r="19" spans="1:5" x14ac:dyDescent="0.25">
      <c r="A19">
        <v>18</v>
      </c>
      <c r="B19" s="1" t="s">
        <v>881</v>
      </c>
      <c r="C19" s="1" t="s">
        <v>861</v>
      </c>
      <c r="D19">
        <v>781</v>
      </c>
      <c r="E19" s="1" t="s">
        <v>707</v>
      </c>
    </row>
    <row r="20" spans="1:5" x14ac:dyDescent="0.25">
      <c r="A20">
        <v>19</v>
      </c>
      <c r="B20" s="1" t="s">
        <v>882</v>
      </c>
      <c r="C20" s="1" t="s">
        <v>874</v>
      </c>
      <c r="D20">
        <v>1234</v>
      </c>
      <c r="E20" s="1" t="s">
        <v>620</v>
      </c>
    </row>
    <row r="21" spans="1:5" x14ac:dyDescent="0.25">
      <c r="A21">
        <v>20</v>
      </c>
      <c r="B21" s="1" t="s">
        <v>883</v>
      </c>
      <c r="C21" s="1" t="s">
        <v>863</v>
      </c>
      <c r="D21">
        <v>697</v>
      </c>
      <c r="E21" s="1" t="s">
        <v>698</v>
      </c>
    </row>
    <row r="22" spans="1:5" x14ac:dyDescent="0.25">
      <c r="A22">
        <v>21</v>
      </c>
      <c r="B22" s="1" t="s">
        <v>884</v>
      </c>
      <c r="C22" s="1" t="s">
        <v>863</v>
      </c>
      <c r="D22">
        <v>1561</v>
      </c>
      <c r="E22" s="1" t="s">
        <v>794</v>
      </c>
    </row>
    <row r="23" spans="1:5" x14ac:dyDescent="0.25">
      <c r="A23">
        <v>22</v>
      </c>
      <c r="B23" s="1" t="s">
        <v>885</v>
      </c>
      <c r="C23" s="1" t="s">
        <v>859</v>
      </c>
      <c r="D23">
        <v>1639</v>
      </c>
      <c r="E23" s="1" t="s">
        <v>699</v>
      </c>
    </row>
    <row r="24" spans="1:5" x14ac:dyDescent="0.25">
      <c r="A24">
        <v>23</v>
      </c>
      <c r="B24" s="1" t="s">
        <v>886</v>
      </c>
      <c r="C24" s="1" t="s">
        <v>865</v>
      </c>
      <c r="D24">
        <v>1098</v>
      </c>
      <c r="E24" s="1" t="s">
        <v>698</v>
      </c>
    </row>
    <row r="25" spans="1:5" x14ac:dyDescent="0.25">
      <c r="A25">
        <v>24</v>
      </c>
      <c r="B25" s="1" t="s">
        <v>887</v>
      </c>
      <c r="C25" s="1" t="s">
        <v>874</v>
      </c>
      <c r="D25">
        <v>535</v>
      </c>
      <c r="E25" s="1" t="s">
        <v>707</v>
      </c>
    </row>
    <row r="26" spans="1:5" x14ac:dyDescent="0.25">
      <c r="A26">
        <v>25</v>
      </c>
      <c r="B26" s="1" t="s">
        <v>888</v>
      </c>
      <c r="C26" s="1" t="s">
        <v>861</v>
      </c>
      <c r="D26">
        <v>1202</v>
      </c>
      <c r="E26" s="1" t="s">
        <v>698</v>
      </c>
    </row>
    <row r="27" spans="1:5" x14ac:dyDescent="0.25">
      <c r="A27">
        <v>26</v>
      </c>
      <c r="B27" s="1" t="s">
        <v>889</v>
      </c>
      <c r="C27" s="1" t="s">
        <v>863</v>
      </c>
      <c r="D27">
        <v>289</v>
      </c>
      <c r="E27" s="1" t="s">
        <v>701</v>
      </c>
    </row>
    <row r="28" spans="1:5" x14ac:dyDescent="0.25">
      <c r="A28">
        <v>27</v>
      </c>
      <c r="B28" s="1" t="s">
        <v>890</v>
      </c>
      <c r="C28" s="1" t="s">
        <v>868</v>
      </c>
      <c r="D28">
        <v>548</v>
      </c>
      <c r="E28" s="1" t="s">
        <v>794</v>
      </c>
    </row>
    <row r="29" spans="1:5" x14ac:dyDescent="0.25">
      <c r="A29">
        <v>28</v>
      </c>
      <c r="B29" s="1" t="s">
        <v>891</v>
      </c>
      <c r="C29" s="1" t="s">
        <v>865</v>
      </c>
      <c r="D29">
        <v>1778</v>
      </c>
      <c r="E29" s="1" t="s">
        <v>794</v>
      </c>
    </row>
    <row r="30" spans="1:5" x14ac:dyDescent="0.25">
      <c r="A30">
        <v>29</v>
      </c>
      <c r="B30" s="1" t="s">
        <v>892</v>
      </c>
      <c r="C30" s="1" t="s">
        <v>863</v>
      </c>
      <c r="D30">
        <v>1252</v>
      </c>
      <c r="E30" s="1" t="s">
        <v>701</v>
      </c>
    </row>
    <row r="31" spans="1:5" x14ac:dyDescent="0.25">
      <c r="A31">
        <v>30</v>
      </c>
      <c r="B31" s="1" t="s">
        <v>893</v>
      </c>
      <c r="C31" s="1" t="s">
        <v>863</v>
      </c>
      <c r="D31">
        <v>751</v>
      </c>
      <c r="E31" s="1" t="s">
        <v>698</v>
      </c>
    </row>
    <row r="32" spans="1:5" x14ac:dyDescent="0.25">
      <c r="A32">
        <v>31</v>
      </c>
      <c r="B32" s="1" t="s">
        <v>894</v>
      </c>
      <c r="C32" s="1" t="s">
        <v>863</v>
      </c>
      <c r="D32">
        <v>1804</v>
      </c>
      <c r="E32" s="1" t="s">
        <v>699</v>
      </c>
    </row>
    <row r="33" spans="1:5" x14ac:dyDescent="0.25">
      <c r="A33">
        <v>32</v>
      </c>
      <c r="B33" s="1" t="s">
        <v>895</v>
      </c>
      <c r="C33" s="1" t="s">
        <v>859</v>
      </c>
      <c r="D33">
        <v>1792</v>
      </c>
      <c r="E33" s="1" t="s">
        <v>707</v>
      </c>
    </row>
    <row r="34" spans="1:5" x14ac:dyDescent="0.25">
      <c r="A34">
        <v>33</v>
      </c>
      <c r="B34" s="1" t="s">
        <v>896</v>
      </c>
      <c r="C34" s="1" t="s">
        <v>863</v>
      </c>
      <c r="D34">
        <v>314</v>
      </c>
      <c r="E34" s="1" t="s">
        <v>620</v>
      </c>
    </row>
    <row r="35" spans="1:5" x14ac:dyDescent="0.25">
      <c r="A35">
        <v>34</v>
      </c>
      <c r="B35" s="1" t="s">
        <v>897</v>
      </c>
      <c r="C35" s="1" t="s">
        <v>859</v>
      </c>
      <c r="D35">
        <v>1335</v>
      </c>
      <c r="E35" s="1" t="s">
        <v>794</v>
      </c>
    </row>
    <row r="36" spans="1:5" x14ac:dyDescent="0.25">
      <c r="A36">
        <v>35</v>
      </c>
      <c r="B36" s="1" t="s">
        <v>898</v>
      </c>
      <c r="C36" s="1" t="s">
        <v>863</v>
      </c>
      <c r="D36">
        <v>1865</v>
      </c>
      <c r="E36" s="1" t="s">
        <v>701</v>
      </c>
    </row>
    <row r="37" spans="1:5" x14ac:dyDescent="0.25">
      <c r="A37">
        <v>36</v>
      </c>
      <c r="B37" s="1" t="s">
        <v>899</v>
      </c>
      <c r="C37" s="1" t="s">
        <v>861</v>
      </c>
      <c r="D37">
        <v>203</v>
      </c>
      <c r="E37" s="1" t="s">
        <v>707</v>
      </c>
    </row>
    <row r="38" spans="1:5" x14ac:dyDescent="0.25">
      <c r="A38">
        <v>37</v>
      </c>
      <c r="B38" s="1" t="s">
        <v>900</v>
      </c>
      <c r="C38" s="1" t="s">
        <v>863</v>
      </c>
      <c r="D38">
        <v>1428</v>
      </c>
      <c r="E38" s="1" t="s">
        <v>829</v>
      </c>
    </row>
    <row r="39" spans="1:5" x14ac:dyDescent="0.25">
      <c r="A39">
        <v>38</v>
      </c>
      <c r="B39" s="1" t="s">
        <v>901</v>
      </c>
      <c r="C39" s="1" t="s">
        <v>868</v>
      </c>
      <c r="D39">
        <v>562</v>
      </c>
      <c r="E39" s="1" t="s">
        <v>707</v>
      </c>
    </row>
    <row r="40" spans="1:5" x14ac:dyDescent="0.25">
      <c r="A40">
        <v>39</v>
      </c>
      <c r="B40" s="1" t="s">
        <v>902</v>
      </c>
      <c r="C40" s="1" t="s">
        <v>874</v>
      </c>
      <c r="D40">
        <v>387</v>
      </c>
      <c r="E40" s="1" t="s">
        <v>699</v>
      </c>
    </row>
    <row r="41" spans="1:5" x14ac:dyDescent="0.25">
      <c r="A41">
        <v>40</v>
      </c>
      <c r="B41" s="1" t="s">
        <v>903</v>
      </c>
      <c r="C41" s="1" t="s">
        <v>865</v>
      </c>
      <c r="D41">
        <v>1923</v>
      </c>
      <c r="E41" s="1" t="s">
        <v>698</v>
      </c>
    </row>
    <row r="42" spans="1:5" x14ac:dyDescent="0.25">
      <c r="A42">
        <v>41</v>
      </c>
      <c r="B42" s="1" t="s">
        <v>904</v>
      </c>
      <c r="C42" s="1" t="s">
        <v>865</v>
      </c>
      <c r="D42">
        <v>1977</v>
      </c>
      <c r="E42" s="1" t="s">
        <v>829</v>
      </c>
    </row>
    <row r="43" spans="1:5" x14ac:dyDescent="0.25">
      <c r="A43">
        <v>42</v>
      </c>
      <c r="B43" s="1" t="s">
        <v>905</v>
      </c>
      <c r="C43" s="1" t="s">
        <v>865</v>
      </c>
      <c r="D43">
        <v>1744</v>
      </c>
      <c r="E43" s="1" t="s">
        <v>699</v>
      </c>
    </row>
    <row r="44" spans="1:5" x14ac:dyDescent="0.25">
      <c r="A44">
        <v>43</v>
      </c>
      <c r="B44" s="1" t="s">
        <v>906</v>
      </c>
      <c r="C44" s="1" t="s">
        <v>794</v>
      </c>
      <c r="D44">
        <v>750</v>
      </c>
      <c r="E44" s="1" t="s">
        <v>829</v>
      </c>
    </row>
    <row r="45" spans="1:5" x14ac:dyDescent="0.25">
      <c r="A45">
        <v>44</v>
      </c>
      <c r="B45" s="1" t="s">
        <v>907</v>
      </c>
      <c r="C45" s="1" t="s">
        <v>861</v>
      </c>
      <c r="D45">
        <v>794</v>
      </c>
      <c r="E45" s="1" t="s">
        <v>829</v>
      </c>
    </row>
    <row r="46" spans="1:5" x14ac:dyDescent="0.25">
      <c r="A46">
        <v>45</v>
      </c>
      <c r="B46" s="1" t="s">
        <v>908</v>
      </c>
      <c r="C46" s="1" t="s">
        <v>794</v>
      </c>
      <c r="D46">
        <v>722</v>
      </c>
      <c r="E46" s="1" t="s">
        <v>707</v>
      </c>
    </row>
    <row r="47" spans="1:5" x14ac:dyDescent="0.25">
      <c r="A47">
        <v>46</v>
      </c>
      <c r="B47" s="1" t="s">
        <v>909</v>
      </c>
      <c r="C47" s="1" t="s">
        <v>868</v>
      </c>
      <c r="D47">
        <v>758</v>
      </c>
      <c r="E47" s="1" t="s">
        <v>698</v>
      </c>
    </row>
    <row r="48" spans="1:5" x14ac:dyDescent="0.25">
      <c r="A48">
        <v>47</v>
      </c>
      <c r="B48" s="1" t="s">
        <v>910</v>
      </c>
      <c r="C48" s="1" t="s">
        <v>863</v>
      </c>
      <c r="D48">
        <v>1638</v>
      </c>
      <c r="E48" s="1" t="s">
        <v>701</v>
      </c>
    </row>
    <row r="49" spans="1:5" x14ac:dyDescent="0.25">
      <c r="A49">
        <v>48</v>
      </c>
      <c r="B49" s="1" t="s">
        <v>911</v>
      </c>
      <c r="C49" s="1" t="s">
        <v>863</v>
      </c>
      <c r="D49">
        <v>433</v>
      </c>
      <c r="E49" s="1" t="s">
        <v>829</v>
      </c>
    </row>
    <row r="50" spans="1:5" x14ac:dyDescent="0.25">
      <c r="A50">
        <v>49</v>
      </c>
      <c r="B50" s="1" t="s">
        <v>912</v>
      </c>
      <c r="C50" s="1" t="s">
        <v>863</v>
      </c>
      <c r="D50">
        <v>903</v>
      </c>
      <c r="E50" s="1" t="s">
        <v>620</v>
      </c>
    </row>
    <row r="51" spans="1:5" x14ac:dyDescent="0.25">
      <c r="A51">
        <v>50</v>
      </c>
      <c r="B51" s="1" t="s">
        <v>913</v>
      </c>
      <c r="C51" s="1" t="s">
        <v>861</v>
      </c>
      <c r="D51">
        <v>422</v>
      </c>
      <c r="E51" s="1" t="s">
        <v>701</v>
      </c>
    </row>
    <row r="52" spans="1:5" x14ac:dyDescent="0.25">
      <c r="A52">
        <v>51</v>
      </c>
      <c r="B52" s="1" t="s">
        <v>914</v>
      </c>
      <c r="C52" s="1" t="s">
        <v>859</v>
      </c>
      <c r="D52">
        <v>1084</v>
      </c>
      <c r="E52" s="1" t="s">
        <v>699</v>
      </c>
    </row>
    <row r="53" spans="1:5" x14ac:dyDescent="0.25">
      <c r="A53">
        <v>52</v>
      </c>
      <c r="B53" s="1" t="s">
        <v>915</v>
      </c>
      <c r="C53" s="1" t="s">
        <v>794</v>
      </c>
      <c r="D53">
        <v>236</v>
      </c>
      <c r="E53" s="1" t="s">
        <v>620</v>
      </c>
    </row>
    <row r="54" spans="1:5" x14ac:dyDescent="0.25">
      <c r="A54">
        <v>53</v>
      </c>
      <c r="B54" s="1" t="s">
        <v>916</v>
      </c>
      <c r="C54" s="1" t="s">
        <v>865</v>
      </c>
      <c r="D54">
        <v>1672</v>
      </c>
      <c r="E54" s="1" t="s">
        <v>794</v>
      </c>
    </row>
    <row r="55" spans="1:5" x14ac:dyDescent="0.25">
      <c r="A55">
        <v>54</v>
      </c>
      <c r="B55" s="1" t="s">
        <v>917</v>
      </c>
      <c r="C55" s="1" t="s">
        <v>868</v>
      </c>
      <c r="D55">
        <v>1236</v>
      </c>
      <c r="E55" s="1" t="s">
        <v>698</v>
      </c>
    </row>
    <row r="56" spans="1:5" x14ac:dyDescent="0.25">
      <c r="A56">
        <v>55</v>
      </c>
      <c r="B56" s="1" t="s">
        <v>918</v>
      </c>
      <c r="C56" s="1" t="s">
        <v>859</v>
      </c>
      <c r="D56">
        <v>1904</v>
      </c>
      <c r="E56" s="1" t="s">
        <v>794</v>
      </c>
    </row>
    <row r="57" spans="1:5" x14ac:dyDescent="0.25">
      <c r="A57">
        <v>56</v>
      </c>
      <c r="B57" s="1" t="s">
        <v>884</v>
      </c>
      <c r="C57" s="1" t="s">
        <v>794</v>
      </c>
      <c r="D57">
        <v>1272</v>
      </c>
      <c r="E57" s="1" t="s">
        <v>698</v>
      </c>
    </row>
    <row r="58" spans="1:5" x14ac:dyDescent="0.25">
      <c r="A58">
        <v>57</v>
      </c>
      <c r="B58" s="1" t="s">
        <v>919</v>
      </c>
      <c r="C58" s="1" t="s">
        <v>863</v>
      </c>
      <c r="D58">
        <v>1582</v>
      </c>
      <c r="E58" s="1" t="s">
        <v>707</v>
      </c>
    </row>
    <row r="59" spans="1:5" x14ac:dyDescent="0.25">
      <c r="A59">
        <v>58</v>
      </c>
      <c r="B59" s="1" t="s">
        <v>920</v>
      </c>
      <c r="C59" s="1" t="s">
        <v>868</v>
      </c>
      <c r="D59">
        <v>1492</v>
      </c>
      <c r="E59" s="1" t="s">
        <v>620</v>
      </c>
    </row>
    <row r="60" spans="1:5" x14ac:dyDescent="0.25">
      <c r="A60">
        <v>59</v>
      </c>
      <c r="B60" s="1" t="s">
        <v>921</v>
      </c>
      <c r="C60" s="1" t="s">
        <v>868</v>
      </c>
      <c r="D60">
        <v>811</v>
      </c>
      <c r="E60" s="1" t="s">
        <v>794</v>
      </c>
    </row>
    <row r="61" spans="1:5" x14ac:dyDescent="0.25">
      <c r="A61">
        <v>60</v>
      </c>
      <c r="B61" s="1" t="s">
        <v>922</v>
      </c>
      <c r="C61" s="1" t="s">
        <v>865</v>
      </c>
      <c r="D61">
        <v>827</v>
      </c>
      <c r="E61" s="1" t="s">
        <v>829</v>
      </c>
    </row>
    <row r="62" spans="1:5" x14ac:dyDescent="0.25">
      <c r="A62">
        <v>61</v>
      </c>
      <c r="B62" s="1" t="s">
        <v>923</v>
      </c>
      <c r="C62" s="1" t="s">
        <v>861</v>
      </c>
      <c r="D62">
        <v>810</v>
      </c>
      <c r="E62" s="1" t="s">
        <v>698</v>
      </c>
    </row>
    <row r="63" spans="1:5" x14ac:dyDescent="0.25">
      <c r="A63">
        <v>62</v>
      </c>
      <c r="B63" s="1" t="s">
        <v>924</v>
      </c>
      <c r="C63" s="1" t="s">
        <v>863</v>
      </c>
      <c r="D63">
        <v>1356</v>
      </c>
      <c r="E63" s="1" t="s">
        <v>701</v>
      </c>
    </row>
    <row r="64" spans="1:5" x14ac:dyDescent="0.25">
      <c r="A64">
        <v>63</v>
      </c>
      <c r="B64" s="1" t="s">
        <v>925</v>
      </c>
      <c r="C64" s="1" t="s">
        <v>865</v>
      </c>
      <c r="D64">
        <v>1348</v>
      </c>
      <c r="E64" s="1" t="s">
        <v>699</v>
      </c>
    </row>
    <row r="65" spans="1:5" x14ac:dyDescent="0.25">
      <c r="A65">
        <v>64</v>
      </c>
      <c r="B65" s="1" t="s">
        <v>926</v>
      </c>
      <c r="C65" s="1" t="s">
        <v>859</v>
      </c>
      <c r="D65">
        <v>1878</v>
      </c>
      <c r="E65" s="1" t="s">
        <v>794</v>
      </c>
    </row>
    <row r="66" spans="1:5" x14ac:dyDescent="0.25">
      <c r="A66">
        <v>65</v>
      </c>
      <c r="B66" s="1" t="s">
        <v>927</v>
      </c>
      <c r="C66" s="1" t="s">
        <v>794</v>
      </c>
      <c r="D66">
        <v>1895</v>
      </c>
      <c r="E66" s="1" t="s">
        <v>699</v>
      </c>
    </row>
    <row r="67" spans="1:5" x14ac:dyDescent="0.25">
      <c r="A67">
        <v>66</v>
      </c>
      <c r="B67" s="1" t="s">
        <v>928</v>
      </c>
      <c r="C67" s="1" t="s">
        <v>863</v>
      </c>
      <c r="D67">
        <v>610</v>
      </c>
      <c r="E67" s="1" t="s">
        <v>701</v>
      </c>
    </row>
    <row r="68" spans="1:5" x14ac:dyDescent="0.25">
      <c r="A68">
        <v>67</v>
      </c>
      <c r="B68" s="1" t="s">
        <v>929</v>
      </c>
      <c r="C68" s="1" t="s">
        <v>794</v>
      </c>
      <c r="D68">
        <v>1374</v>
      </c>
      <c r="E68" s="1" t="s">
        <v>698</v>
      </c>
    </row>
    <row r="69" spans="1:5" x14ac:dyDescent="0.25">
      <c r="A69">
        <v>68</v>
      </c>
      <c r="B69" s="1" t="s">
        <v>930</v>
      </c>
      <c r="C69" s="1" t="s">
        <v>859</v>
      </c>
      <c r="D69">
        <v>597</v>
      </c>
      <c r="E69" s="1" t="s">
        <v>620</v>
      </c>
    </row>
    <row r="70" spans="1:5" x14ac:dyDescent="0.25">
      <c r="A70">
        <v>69</v>
      </c>
      <c r="B70" s="1" t="s">
        <v>931</v>
      </c>
      <c r="C70" s="1" t="s">
        <v>868</v>
      </c>
      <c r="D70">
        <v>998</v>
      </c>
      <c r="E70" s="1" t="s">
        <v>701</v>
      </c>
    </row>
    <row r="71" spans="1:5" x14ac:dyDescent="0.25">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5E15-79E4-4C36-82BF-72145FABD9DA}">
  <dimension ref="A1:I53"/>
  <sheetViews>
    <sheetView workbookViewId="0">
      <selection activeCell="Q12" sqref="Q12"/>
    </sheetView>
  </sheetViews>
  <sheetFormatPr defaultRowHeight="15" x14ac:dyDescent="0.25"/>
  <cols>
    <col min="1" max="1" width="15.42578125" bestFit="1" customWidth="1"/>
    <col min="2" max="2" width="15.5703125" bestFit="1" customWidth="1"/>
    <col min="3" max="3" width="11.85546875" bestFit="1" customWidth="1"/>
    <col min="4" max="4" width="14.85546875" bestFit="1" customWidth="1"/>
    <col min="5" max="5" width="17.28515625" bestFit="1" customWidth="1"/>
    <col min="6" max="6" width="25.5703125" bestFit="1" customWidth="1"/>
    <col min="7" max="7" width="15.42578125" bestFit="1" customWidth="1"/>
    <col min="8" max="9" width="15.5703125" bestFit="1" customWidth="1"/>
  </cols>
  <sheetData>
    <row r="1" spans="1:9" x14ac:dyDescent="0.25">
      <c r="A1" s="5" t="s">
        <v>932</v>
      </c>
      <c r="B1" t="s">
        <v>943</v>
      </c>
      <c r="D1" t="s">
        <v>944</v>
      </c>
      <c r="E1" t="s">
        <v>943</v>
      </c>
      <c r="F1" t="s">
        <v>946</v>
      </c>
      <c r="G1" t="s">
        <v>947</v>
      </c>
    </row>
    <row r="2" spans="1:9" x14ac:dyDescent="0.25">
      <c r="A2" s="6" t="s">
        <v>842</v>
      </c>
      <c r="B2" s="8">
        <v>95468</v>
      </c>
      <c r="D2" s="1">
        <v>5.53</v>
      </c>
      <c r="E2" s="8">
        <v>3520984</v>
      </c>
      <c r="F2" s="8">
        <v>3520.9839999999999</v>
      </c>
      <c r="G2" s="1">
        <v>1000</v>
      </c>
    </row>
    <row r="3" spans="1:9" x14ac:dyDescent="0.25">
      <c r="A3" s="6" t="s">
        <v>621</v>
      </c>
      <c r="B3" s="8">
        <v>704509</v>
      </c>
    </row>
    <row r="4" spans="1:9" x14ac:dyDescent="0.25">
      <c r="A4" s="6" t="s">
        <v>747</v>
      </c>
      <c r="B4" s="8">
        <v>511823</v>
      </c>
    </row>
    <row r="5" spans="1:9" x14ac:dyDescent="0.25">
      <c r="A5" s="6" t="s">
        <v>837</v>
      </c>
      <c r="B5" s="8">
        <v>140393</v>
      </c>
      <c r="D5" s="5" t="s">
        <v>932</v>
      </c>
      <c r="E5" t="s">
        <v>943</v>
      </c>
      <c r="H5" s="5" t="s">
        <v>932</v>
      </c>
      <c r="I5" t="s">
        <v>943</v>
      </c>
    </row>
    <row r="6" spans="1:9" x14ac:dyDescent="0.25">
      <c r="A6" s="6" t="s">
        <v>840</v>
      </c>
      <c r="B6" s="8">
        <v>150346</v>
      </c>
      <c r="D6" s="6" t="s">
        <v>877</v>
      </c>
      <c r="E6" s="8">
        <v>97665</v>
      </c>
      <c r="H6" s="6" t="s">
        <v>877</v>
      </c>
      <c r="I6" s="8">
        <v>97665</v>
      </c>
    </row>
    <row r="7" spans="1:9" x14ac:dyDescent="0.25">
      <c r="A7" s="6" t="s">
        <v>841</v>
      </c>
      <c r="B7" s="8">
        <v>157913</v>
      </c>
      <c r="D7" s="6" t="s">
        <v>918</v>
      </c>
      <c r="E7" s="8">
        <v>106624</v>
      </c>
      <c r="G7">
        <f>CORREL(Orders[Quantity],Orders[diff_order_Delivery])</f>
        <v>3.4781737193018245E-3</v>
      </c>
      <c r="H7" s="6" t="s">
        <v>918</v>
      </c>
      <c r="I7" s="8">
        <v>106624</v>
      </c>
    </row>
    <row r="8" spans="1:9" x14ac:dyDescent="0.25">
      <c r="A8" s="6" t="s">
        <v>839</v>
      </c>
      <c r="B8" s="8">
        <v>135826</v>
      </c>
      <c r="D8" s="6" t="s">
        <v>910</v>
      </c>
      <c r="E8" s="8">
        <v>101556</v>
      </c>
      <c r="H8" s="6" t="s">
        <v>910</v>
      </c>
      <c r="I8" s="8">
        <v>101556</v>
      </c>
    </row>
    <row r="9" spans="1:9" x14ac:dyDescent="0.25">
      <c r="A9" s="6" t="s">
        <v>795</v>
      </c>
      <c r="B9" s="8">
        <v>737389</v>
      </c>
      <c r="D9" s="6" t="s">
        <v>858</v>
      </c>
      <c r="E9" s="8">
        <v>121905</v>
      </c>
      <c r="H9" s="6" t="s">
        <v>858</v>
      </c>
      <c r="I9" s="8">
        <v>121905</v>
      </c>
    </row>
    <row r="10" spans="1:9" x14ac:dyDescent="0.25">
      <c r="A10" s="6" t="s">
        <v>843</v>
      </c>
      <c r="B10" s="8">
        <v>136938</v>
      </c>
      <c r="D10" s="6" t="s">
        <v>884</v>
      </c>
      <c r="E10" s="8">
        <v>114476</v>
      </c>
      <c r="H10" s="6" t="s">
        <v>884</v>
      </c>
      <c r="I10" s="8">
        <v>114476</v>
      </c>
    </row>
    <row r="11" spans="1:9" x14ac:dyDescent="0.25">
      <c r="A11" s="6" t="s">
        <v>845</v>
      </c>
      <c r="B11" s="8">
        <v>151619</v>
      </c>
      <c r="D11" s="6" t="s">
        <v>933</v>
      </c>
      <c r="E11" s="8">
        <v>542226</v>
      </c>
      <c r="H11" s="6" t="s">
        <v>933</v>
      </c>
      <c r="I11" s="8">
        <v>542226</v>
      </c>
    </row>
    <row r="12" spans="1:9" x14ac:dyDescent="0.25">
      <c r="A12" s="6" t="s">
        <v>822</v>
      </c>
      <c r="B12" s="8">
        <v>449169</v>
      </c>
    </row>
    <row r="13" spans="1:9" x14ac:dyDescent="0.25">
      <c r="A13" s="6" t="s">
        <v>836</v>
      </c>
      <c r="B13" s="8">
        <v>149591</v>
      </c>
    </row>
    <row r="14" spans="1:9" x14ac:dyDescent="0.25">
      <c r="A14" s="6" t="s">
        <v>933</v>
      </c>
      <c r="B14" s="8">
        <v>3520984</v>
      </c>
    </row>
    <row r="17" spans="1:8" x14ac:dyDescent="0.25">
      <c r="A17" s="5" t="s">
        <v>932</v>
      </c>
      <c r="B17" t="s">
        <v>943</v>
      </c>
      <c r="D17" s="5" t="s">
        <v>932</v>
      </c>
      <c r="E17" t="s">
        <v>945</v>
      </c>
      <c r="G17" s="5" t="s">
        <v>932</v>
      </c>
      <c r="H17" t="s">
        <v>943</v>
      </c>
    </row>
    <row r="18" spans="1:8" x14ac:dyDescent="0.25">
      <c r="A18" s="6" t="s">
        <v>868</v>
      </c>
      <c r="B18" s="8">
        <v>329862</v>
      </c>
      <c r="D18" s="6" t="s">
        <v>218</v>
      </c>
      <c r="E18" s="1">
        <v>18</v>
      </c>
      <c r="G18" s="6" t="s">
        <v>699</v>
      </c>
      <c r="H18" s="8">
        <v>586176</v>
      </c>
    </row>
    <row r="19" spans="1:8" x14ac:dyDescent="0.25">
      <c r="A19" s="6" t="s">
        <v>863</v>
      </c>
      <c r="B19" s="8">
        <v>1005645</v>
      </c>
      <c r="D19" s="6" t="s">
        <v>152</v>
      </c>
      <c r="E19" s="1">
        <v>21</v>
      </c>
      <c r="G19" s="6" t="s">
        <v>698</v>
      </c>
      <c r="H19" s="8">
        <v>674634</v>
      </c>
    </row>
    <row r="20" spans="1:8" x14ac:dyDescent="0.25">
      <c r="A20" s="6" t="s">
        <v>874</v>
      </c>
      <c r="B20" s="8">
        <v>201151</v>
      </c>
      <c r="D20" s="6" t="s">
        <v>32</v>
      </c>
      <c r="E20" s="1">
        <v>18</v>
      </c>
      <c r="G20" s="6" t="s">
        <v>707</v>
      </c>
      <c r="H20" s="8">
        <v>408194</v>
      </c>
    </row>
    <row r="21" spans="1:8" x14ac:dyDescent="0.25">
      <c r="A21" s="6" t="s">
        <v>861</v>
      </c>
      <c r="B21" s="8">
        <v>212281</v>
      </c>
      <c r="D21" s="6" t="s">
        <v>324</v>
      </c>
      <c r="E21" s="1">
        <v>28</v>
      </c>
      <c r="G21" s="6" t="s">
        <v>829</v>
      </c>
      <c r="H21" s="8">
        <v>313783</v>
      </c>
    </row>
    <row r="22" spans="1:8" x14ac:dyDescent="0.25">
      <c r="A22" s="6" t="s">
        <v>794</v>
      </c>
      <c r="B22" s="8">
        <v>297372</v>
      </c>
      <c r="D22" s="6" t="s">
        <v>230</v>
      </c>
      <c r="E22" s="1">
        <v>21</v>
      </c>
      <c r="G22" s="6" t="s">
        <v>701</v>
      </c>
      <c r="H22" s="8">
        <v>574682</v>
      </c>
    </row>
    <row r="23" spans="1:8" x14ac:dyDescent="0.25">
      <c r="A23" s="6" t="s">
        <v>859</v>
      </c>
      <c r="B23" s="8">
        <v>740831</v>
      </c>
      <c r="D23" s="6" t="s">
        <v>301</v>
      </c>
      <c r="E23" s="1">
        <v>20</v>
      </c>
      <c r="G23" s="6" t="s">
        <v>794</v>
      </c>
      <c r="H23" s="8">
        <v>631585</v>
      </c>
    </row>
    <row r="24" spans="1:8" x14ac:dyDescent="0.25">
      <c r="A24" s="6" t="s">
        <v>865</v>
      </c>
      <c r="B24" s="8">
        <v>733842</v>
      </c>
      <c r="D24" s="6" t="s">
        <v>188</v>
      </c>
      <c r="E24" s="1">
        <v>24</v>
      </c>
      <c r="G24" s="6" t="s">
        <v>620</v>
      </c>
      <c r="H24" s="8">
        <v>331930</v>
      </c>
    </row>
    <row r="25" spans="1:8" x14ac:dyDescent="0.25">
      <c r="A25" s="6" t="s">
        <v>933</v>
      </c>
      <c r="B25" s="8">
        <v>3520984</v>
      </c>
      <c r="D25" s="6" t="s">
        <v>307</v>
      </c>
      <c r="E25" s="1">
        <v>29</v>
      </c>
      <c r="G25" s="6" t="s">
        <v>933</v>
      </c>
      <c r="H25" s="8">
        <v>3520984</v>
      </c>
    </row>
    <row r="26" spans="1:8" x14ac:dyDescent="0.25">
      <c r="D26" s="6" t="s">
        <v>158</v>
      </c>
      <c r="E26" s="1">
        <v>27</v>
      </c>
    </row>
    <row r="27" spans="1:8" x14ac:dyDescent="0.25">
      <c r="D27" s="6" t="s">
        <v>397</v>
      </c>
      <c r="E27" s="1">
        <v>19</v>
      </c>
    </row>
    <row r="28" spans="1:8" x14ac:dyDescent="0.25">
      <c r="A28" s="5" t="s">
        <v>932</v>
      </c>
      <c r="B28" t="s">
        <v>943</v>
      </c>
      <c r="D28" s="6" t="s">
        <v>933</v>
      </c>
      <c r="E28" s="1">
        <v>225</v>
      </c>
    </row>
    <row r="29" spans="1:8" x14ac:dyDescent="0.25">
      <c r="A29" s="6">
        <v>0</v>
      </c>
      <c r="B29" s="8">
        <v>99400</v>
      </c>
    </row>
    <row r="30" spans="1:8" x14ac:dyDescent="0.25">
      <c r="A30" s="6">
        <v>1</v>
      </c>
      <c r="B30" s="8">
        <v>129309</v>
      </c>
    </row>
    <row r="31" spans="1:8" x14ac:dyDescent="0.25">
      <c r="A31" s="6">
        <v>2</v>
      </c>
      <c r="B31" s="8">
        <v>152940</v>
      </c>
    </row>
    <row r="32" spans="1:8" x14ac:dyDescent="0.25">
      <c r="A32" s="6">
        <v>3</v>
      </c>
      <c r="B32" s="8">
        <v>146810</v>
      </c>
    </row>
    <row r="33" spans="1:2" x14ac:dyDescent="0.25">
      <c r="A33" s="6">
        <v>4</v>
      </c>
      <c r="B33" s="8">
        <v>114700</v>
      </c>
    </row>
    <row r="34" spans="1:2" x14ac:dyDescent="0.25">
      <c r="A34" s="6">
        <v>5</v>
      </c>
      <c r="B34" s="8">
        <v>156198</v>
      </c>
    </row>
    <row r="35" spans="1:2" x14ac:dyDescent="0.25">
      <c r="A35" s="6">
        <v>6</v>
      </c>
      <c r="B35" s="8">
        <v>177211</v>
      </c>
    </row>
    <row r="36" spans="1:2" x14ac:dyDescent="0.25">
      <c r="A36" s="6">
        <v>7</v>
      </c>
      <c r="B36" s="8">
        <v>147749</v>
      </c>
    </row>
    <row r="37" spans="1:2" x14ac:dyDescent="0.25">
      <c r="A37" s="6">
        <v>8</v>
      </c>
      <c r="B37" s="8">
        <v>133617</v>
      </c>
    </row>
    <row r="38" spans="1:2" x14ac:dyDescent="0.25">
      <c r="A38" s="6">
        <v>9</v>
      </c>
      <c r="B38" s="8">
        <v>153678</v>
      </c>
    </row>
    <row r="39" spans="1:2" x14ac:dyDescent="0.25">
      <c r="A39" s="6">
        <v>10</v>
      </c>
      <c r="B39" s="8">
        <v>94985</v>
      </c>
    </row>
    <row r="40" spans="1:2" x14ac:dyDescent="0.25">
      <c r="A40" s="6">
        <v>11</v>
      </c>
      <c r="B40" s="8">
        <v>130287</v>
      </c>
    </row>
    <row r="41" spans="1:2" x14ac:dyDescent="0.25">
      <c r="A41" s="6">
        <v>12</v>
      </c>
      <c r="B41" s="8">
        <v>162394</v>
      </c>
    </row>
    <row r="42" spans="1:2" x14ac:dyDescent="0.25">
      <c r="A42" s="6">
        <v>13</v>
      </c>
      <c r="B42" s="8">
        <v>152340</v>
      </c>
    </row>
    <row r="43" spans="1:2" x14ac:dyDescent="0.25">
      <c r="A43" s="6">
        <v>14</v>
      </c>
      <c r="B43" s="8">
        <v>126406</v>
      </c>
    </row>
    <row r="44" spans="1:2" x14ac:dyDescent="0.25">
      <c r="A44" s="6">
        <v>15</v>
      </c>
      <c r="B44" s="8">
        <v>163586</v>
      </c>
    </row>
    <row r="45" spans="1:2" x14ac:dyDescent="0.25">
      <c r="A45" s="6">
        <v>16</v>
      </c>
      <c r="B45" s="8">
        <v>128797</v>
      </c>
    </row>
    <row r="46" spans="1:2" x14ac:dyDescent="0.25">
      <c r="A46" s="6">
        <v>17</v>
      </c>
      <c r="B46" s="8">
        <v>155373</v>
      </c>
    </row>
    <row r="47" spans="1:2" x14ac:dyDescent="0.25">
      <c r="A47" s="6">
        <v>18</v>
      </c>
      <c r="B47" s="8">
        <v>173118</v>
      </c>
    </row>
    <row r="48" spans="1:2" x14ac:dyDescent="0.25">
      <c r="A48" s="6">
        <v>19</v>
      </c>
      <c r="B48" s="8">
        <v>185771</v>
      </c>
    </row>
    <row r="49" spans="1:2" x14ac:dyDescent="0.25">
      <c r="A49" s="6">
        <v>20</v>
      </c>
      <c r="B49" s="8">
        <v>186426</v>
      </c>
    </row>
    <row r="50" spans="1:2" x14ac:dyDescent="0.25">
      <c r="A50" s="6">
        <v>21</v>
      </c>
      <c r="B50" s="8">
        <v>155466</v>
      </c>
    </row>
    <row r="51" spans="1:2" x14ac:dyDescent="0.25">
      <c r="A51" s="6">
        <v>22</v>
      </c>
      <c r="B51" s="8">
        <v>125912</v>
      </c>
    </row>
    <row r="52" spans="1:2" x14ac:dyDescent="0.25">
      <c r="A52" s="6">
        <v>23</v>
      </c>
      <c r="B52" s="8">
        <v>168511</v>
      </c>
    </row>
    <row r="53" spans="1:2" x14ac:dyDescent="0.25">
      <c r="A53" s="6" t="s">
        <v>933</v>
      </c>
      <c r="B53" s="8">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4D7BA-BB00-4D3B-9D15-B57DEABF6341}">
  <dimension ref="A1"/>
  <sheetViews>
    <sheetView tabSelected="1" zoomScale="80" zoomScaleNormal="80" workbookViewId="0">
      <selection activeCell="W13" sqref="W13"/>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A29EBFA-CC16-446F-B4B3-8418C6286EDB}">
  <ds:schemaRefs/>
</ds:datastoreItem>
</file>

<file path=customXml/itemProps2.xml><?xml version="1.0" encoding="utf-8"?>
<ds:datastoreItem xmlns:ds="http://schemas.openxmlformats.org/officeDocument/2006/customXml" ds:itemID="{C2CD00BB-2B85-4EC0-AED4-FDB385F219B4}">
  <ds:schemaRefs>
    <ds:schemaRef ds:uri="http://schemas.microsoft.com/DataMashup"/>
  </ds:schemaRefs>
</ds:datastoreItem>
</file>

<file path=customXml/itemProps3.xml><?xml version="1.0" encoding="utf-8"?>
<ds:datastoreItem xmlns:ds="http://schemas.openxmlformats.org/officeDocument/2006/customXml" ds:itemID="{FC996A89-CC6E-442B-AAEF-6739864CA2BE}">
  <ds:schemaRefs/>
</ds:datastoreItem>
</file>

<file path=customXml/itemProps4.xml><?xml version="1.0" encoding="utf-8"?>
<ds:datastoreItem xmlns:ds="http://schemas.openxmlformats.org/officeDocument/2006/customXml" ds:itemID="{CD9CA14C-B326-410C-9157-5269E2D8683C}">
  <ds:schemaRefs/>
</ds:datastoreItem>
</file>

<file path=customXml/itemProps5.xml><?xml version="1.0" encoding="utf-8"?>
<ds:datastoreItem xmlns:ds="http://schemas.openxmlformats.org/officeDocument/2006/customXml" ds:itemID="{2CA9F606-B1EB-45C0-9856-AA8C238FFF4A}">
  <ds:schemaRefs/>
</ds:datastoreItem>
</file>

<file path=customXml/itemProps6.xml><?xml version="1.0" encoding="utf-8"?>
<ds:datastoreItem xmlns:ds="http://schemas.openxmlformats.org/officeDocument/2006/customXml" ds:itemID="{6F4C86CF-D24D-4B4B-BB1F-D3B4BE50F316}">
  <ds:schemaRefs/>
</ds:datastoreItem>
</file>

<file path=customXml/itemProps7.xml><?xml version="1.0" encoding="utf-8"?>
<ds:datastoreItem xmlns:ds="http://schemas.openxmlformats.org/officeDocument/2006/customXml" ds:itemID="{446FAB7F-2F8A-497B-AE2C-3CFC5A2BECD6}">
  <ds:schemaRefs/>
</ds:datastoreItem>
</file>

<file path=customXml/itemProps8.xml><?xml version="1.0" encoding="utf-8"?>
<ds:datastoreItem xmlns:ds="http://schemas.openxmlformats.org/officeDocument/2006/customXml" ds:itemID="{E0B6B3BB-6A31-4112-8DD7-63696FDDDF0D}">
  <ds:schemaRefs/>
</ds:datastoreItem>
</file>

<file path=customXml/itemProps9.xml><?xml version="1.0" encoding="utf-8"?>
<ds:datastoreItem xmlns:ds="http://schemas.openxmlformats.org/officeDocument/2006/customXml" ds:itemID="{6D749008-D941-4CD7-8EE6-FBD4F5649733}">
  <ds:schemaRefs/>
</ds:datastoreItem>
</file>

<file path=customXml/itemProps10.xml><?xml version="1.0" encoding="utf-8"?>
<ds:datastoreItem xmlns:ds="http://schemas.openxmlformats.org/officeDocument/2006/customXml" ds:itemID="{DFFD00C9-6667-4D0F-88F7-7AC2594739CB}">
  <ds:schemaRefs/>
</ds:datastoreItem>
</file>

<file path=customXml/itemProps11.xml><?xml version="1.0" encoding="utf-8"?>
<ds:datastoreItem xmlns:ds="http://schemas.openxmlformats.org/officeDocument/2006/customXml" ds:itemID="{FBE6A176-B82B-4E15-BD31-5BA223B6E609}">
  <ds:schemaRefs/>
</ds:datastoreItem>
</file>

<file path=customXml/itemProps12.xml><?xml version="1.0" encoding="utf-8"?>
<ds:datastoreItem xmlns:ds="http://schemas.openxmlformats.org/officeDocument/2006/customXml" ds:itemID="{ACD4B8E3-A4B4-47D9-B9EE-2AEE922BC6C4}">
  <ds:schemaRefs/>
</ds:datastoreItem>
</file>

<file path=customXml/itemProps13.xml><?xml version="1.0" encoding="utf-8"?>
<ds:datastoreItem xmlns:ds="http://schemas.openxmlformats.org/officeDocument/2006/customXml" ds:itemID="{084A56B0-A09E-4AFD-8DFD-2C24A958AE59}">
  <ds:schemaRefs/>
</ds:datastoreItem>
</file>

<file path=customXml/itemProps14.xml><?xml version="1.0" encoding="utf-8"?>
<ds:datastoreItem xmlns:ds="http://schemas.openxmlformats.org/officeDocument/2006/customXml" ds:itemID="{254066EC-E97C-47FF-ADCB-D73270727AA9}">
  <ds:schemaRefs/>
</ds:datastoreItem>
</file>

<file path=customXml/itemProps15.xml><?xml version="1.0" encoding="utf-8"?>
<ds:datastoreItem xmlns:ds="http://schemas.openxmlformats.org/officeDocument/2006/customXml" ds:itemID="{C61B9C59-97C4-4F88-8FDA-8749D14086D2}">
  <ds:schemaRefs/>
</ds:datastoreItem>
</file>

<file path=customXml/itemProps16.xml><?xml version="1.0" encoding="utf-8"?>
<ds:datastoreItem xmlns:ds="http://schemas.openxmlformats.org/officeDocument/2006/customXml" ds:itemID="{7F92B124-0A96-4C00-AE17-2C8D17FBAD8D}">
  <ds:schemaRefs/>
</ds:datastoreItem>
</file>

<file path=customXml/itemProps17.xml><?xml version="1.0" encoding="utf-8"?>
<ds:datastoreItem xmlns:ds="http://schemas.openxmlformats.org/officeDocument/2006/customXml" ds:itemID="{B797C50F-3659-4A51-B6E7-30928C39E9E8}">
  <ds:schemaRefs/>
</ds:datastoreItem>
</file>

<file path=customXml/itemProps18.xml><?xml version="1.0" encoding="utf-8"?>
<ds:datastoreItem xmlns:ds="http://schemas.openxmlformats.org/officeDocument/2006/customXml" ds:itemID="{EF3A379C-D18A-42D3-8EF7-681A512B41F8}">
  <ds:schemaRefs/>
</ds:datastoreItem>
</file>

<file path=customXml/itemProps19.xml><?xml version="1.0" encoding="utf-8"?>
<ds:datastoreItem xmlns:ds="http://schemas.openxmlformats.org/officeDocument/2006/customXml" ds:itemID="{E1D74CC9-D67F-445C-ADF4-C847E400D9BB}">
  <ds:schemaRefs/>
</ds:datastoreItem>
</file>

<file path=customXml/itemProps20.xml><?xml version="1.0" encoding="utf-8"?>
<ds:datastoreItem xmlns:ds="http://schemas.openxmlformats.org/officeDocument/2006/customXml" ds:itemID="{D97A7FFF-C1DA-4B64-8CDE-2070424116A4}">
  <ds:schemaRefs/>
</ds:datastoreItem>
</file>

<file path=customXml/itemProps21.xml><?xml version="1.0" encoding="utf-8"?>
<ds:datastoreItem xmlns:ds="http://schemas.openxmlformats.org/officeDocument/2006/customXml" ds:itemID="{38EF8597-D485-483B-88A2-B17A94BB5FAB}">
  <ds:schemaRefs/>
</ds:datastoreItem>
</file>

<file path=customXml/itemProps22.xml><?xml version="1.0" encoding="utf-8"?>
<ds:datastoreItem xmlns:ds="http://schemas.openxmlformats.org/officeDocument/2006/customXml" ds:itemID="{9B5C9BCC-870C-4129-BC6C-D7ABBB975827}">
  <ds:schemaRefs/>
</ds:datastoreItem>
</file>

<file path=customXml/itemProps23.xml><?xml version="1.0" encoding="utf-8"?>
<ds:datastoreItem xmlns:ds="http://schemas.openxmlformats.org/officeDocument/2006/customXml" ds:itemID="{1F6A0840-3B01-4157-8CF3-CFD45B5BB347}">
  <ds:schemaRefs/>
</ds:datastoreItem>
</file>

<file path=customXml/itemProps24.xml><?xml version="1.0" encoding="utf-8"?>
<ds:datastoreItem xmlns:ds="http://schemas.openxmlformats.org/officeDocument/2006/customXml" ds:itemID="{A9DC3D07-A882-4E27-89AB-211D949F6F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FNPdataset</vt:lpstr>
      <vt:lpstr>Customers</vt:lpstr>
      <vt:lpstr>Orders</vt:lpstr>
      <vt:lpstr>Products</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kanikasaini105@gmail.com</dc:creator>
  <cp:lastModifiedBy>kanikasaini105@gmail.com</cp:lastModifiedBy>
  <dcterms:created xsi:type="dcterms:W3CDTF">2026-03-19T11:18:07Z</dcterms:created>
  <dcterms:modified xsi:type="dcterms:W3CDTF">2026-03-21T12:09:49Z</dcterms:modified>
</cp:coreProperties>
</file>